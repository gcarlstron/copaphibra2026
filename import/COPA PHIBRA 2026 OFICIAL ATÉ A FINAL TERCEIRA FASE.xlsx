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"/>
    </mc:Choice>
  </mc:AlternateContent>
  <xr:revisionPtr revIDLastSave="0" documentId="13_ncr:1_{28517A88-0D1C-4FDB-ACBC-DA44BF353801}" xr6:coauthVersionLast="47" xr6:coauthVersionMax="47" xr10:uidLastSave="{00000000-0000-0000-0000-000000000000}"/>
  <bookViews>
    <workbookView xWindow="-38520" yWindow="-120" windowWidth="38640" windowHeight="15720" tabRatio="709" xr2:uid="{00000000-000D-0000-FFFF-FFFF00000000}"/>
  </bookViews>
  <sheets>
    <sheet name="OFICIAL" sheetId="1" r:id="rId1"/>
    <sheet name="BERNARDO" sheetId="2" r:id="rId2"/>
    <sheet name="FERNANDO" sheetId="5" r:id="rId3"/>
    <sheet name="GABRIEL" sheetId="6" r:id="rId4"/>
    <sheet name="GUSTAVO" sheetId="14" r:id="rId5"/>
    <sheet name="MARCIO" sheetId="8" r:id="rId6"/>
    <sheet name="MARQUES" sheetId="12" r:id="rId7"/>
    <sheet name="RENAN" sheetId="10" r:id="rId8"/>
    <sheet name="RICARDO" sheetId="15" r:id="rId9"/>
    <sheet name="THIAGO" sheetId="11" r:id="rId10"/>
    <sheet name="SOARES" sheetId="13" r:id="rId11"/>
    <sheet name="TODAS AS COPA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K67" i="2" l="1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70" i="5"/>
  <c r="L70" i="5"/>
  <c r="M70" i="5"/>
  <c r="K71" i="5"/>
  <c r="L71" i="5"/>
  <c r="M71" i="5"/>
  <c r="K72" i="5"/>
  <c r="L72" i="5"/>
  <c r="M72" i="5"/>
  <c r="K73" i="5"/>
  <c r="L73" i="5"/>
  <c r="M73" i="5"/>
  <c r="K74" i="5"/>
  <c r="L74" i="5"/>
  <c r="M74" i="5"/>
  <c r="K75" i="5"/>
  <c r="L75" i="5"/>
  <c r="M75" i="5"/>
  <c r="K76" i="5"/>
  <c r="L76" i="5"/>
  <c r="M76" i="5"/>
  <c r="K77" i="5"/>
  <c r="L77" i="5"/>
  <c r="M77" i="5"/>
  <c r="K78" i="5"/>
  <c r="L78" i="5"/>
  <c r="M78" i="5"/>
  <c r="K79" i="5"/>
  <c r="L79" i="5"/>
  <c r="M79" i="5"/>
  <c r="K80" i="5"/>
  <c r="L80" i="5"/>
  <c r="M80" i="5"/>
  <c r="K81" i="5"/>
  <c r="L81" i="5"/>
  <c r="M81" i="5"/>
  <c r="K82" i="5"/>
  <c r="L82" i="5"/>
  <c r="M82" i="5"/>
  <c r="K83" i="5"/>
  <c r="L83" i="5"/>
  <c r="M83" i="5"/>
  <c r="K84" i="5"/>
  <c r="L84" i="5"/>
  <c r="M84" i="5"/>
  <c r="K85" i="5"/>
  <c r="L85" i="5"/>
  <c r="M85" i="5"/>
  <c r="K86" i="5"/>
  <c r="L86" i="5"/>
  <c r="M86" i="5"/>
  <c r="K87" i="5"/>
  <c r="L87" i="5"/>
  <c r="M87" i="5"/>
  <c r="K88" i="5"/>
  <c r="L88" i="5"/>
  <c r="M88" i="5"/>
  <c r="K89" i="5"/>
  <c r="L89" i="5"/>
  <c r="M89" i="5"/>
  <c r="K90" i="5"/>
  <c r="L90" i="5"/>
  <c r="M90" i="5"/>
  <c r="K91" i="5"/>
  <c r="L91" i="5"/>
  <c r="M91" i="5"/>
  <c r="K92" i="5"/>
  <c r="L92" i="5"/>
  <c r="M92" i="5"/>
  <c r="K93" i="5"/>
  <c r="L93" i="5"/>
  <c r="M93" i="5"/>
  <c r="K94" i="5"/>
  <c r="L94" i="5"/>
  <c r="M94" i="5"/>
  <c r="K95" i="5"/>
  <c r="L95" i="5"/>
  <c r="M95" i="5"/>
  <c r="K96" i="5"/>
  <c r="L96" i="5"/>
  <c r="M96" i="5"/>
  <c r="K97" i="5"/>
  <c r="L97" i="5"/>
  <c r="M97" i="5"/>
  <c r="K98" i="5"/>
  <c r="L98" i="5"/>
  <c r="M98" i="5"/>
  <c r="K99" i="5"/>
  <c r="L99" i="5"/>
  <c r="M99" i="5"/>
  <c r="K100" i="5"/>
  <c r="L100" i="5"/>
  <c r="M100" i="5"/>
  <c r="K101" i="5"/>
  <c r="L101" i="5"/>
  <c r="M101" i="5"/>
  <c r="K102" i="5"/>
  <c r="L102" i="5"/>
  <c r="M102" i="5"/>
  <c r="K103" i="5"/>
  <c r="L103" i="5"/>
  <c r="M103" i="5"/>
  <c r="K104" i="5"/>
  <c r="L104" i="5"/>
  <c r="M104" i="5"/>
  <c r="K105" i="5"/>
  <c r="L105" i="5"/>
  <c r="M105" i="5"/>
  <c r="K69" i="6"/>
  <c r="L69" i="6"/>
  <c r="M69" i="6"/>
  <c r="K70" i="6"/>
  <c r="L70" i="6"/>
  <c r="M70" i="6"/>
  <c r="K71" i="6"/>
  <c r="L71" i="6"/>
  <c r="M71" i="6"/>
  <c r="K72" i="6"/>
  <c r="L72" i="6"/>
  <c r="M72" i="6"/>
  <c r="K73" i="6"/>
  <c r="L73" i="6"/>
  <c r="M73" i="6"/>
  <c r="K74" i="6"/>
  <c r="L74" i="6"/>
  <c r="M74" i="6"/>
  <c r="K75" i="6"/>
  <c r="L75" i="6"/>
  <c r="M75" i="6"/>
  <c r="K76" i="6"/>
  <c r="L76" i="6"/>
  <c r="M76" i="6"/>
  <c r="K77" i="6"/>
  <c r="L77" i="6"/>
  <c r="M77" i="6"/>
  <c r="K78" i="6"/>
  <c r="L78" i="6"/>
  <c r="M78" i="6"/>
  <c r="K79" i="6"/>
  <c r="L79" i="6"/>
  <c r="M79" i="6"/>
  <c r="K80" i="6"/>
  <c r="L80" i="6"/>
  <c r="M80" i="6"/>
  <c r="K81" i="6"/>
  <c r="L81" i="6"/>
  <c r="M81" i="6"/>
  <c r="K82" i="6"/>
  <c r="L82" i="6"/>
  <c r="M82" i="6"/>
  <c r="K83" i="6"/>
  <c r="L83" i="6"/>
  <c r="M83" i="6"/>
  <c r="K84" i="6"/>
  <c r="L84" i="6"/>
  <c r="M84" i="6"/>
  <c r="K85" i="6"/>
  <c r="L85" i="6"/>
  <c r="M85" i="6"/>
  <c r="K86" i="6"/>
  <c r="L86" i="6"/>
  <c r="M86" i="6"/>
  <c r="K87" i="6"/>
  <c r="L87" i="6"/>
  <c r="M87" i="6"/>
  <c r="K88" i="6"/>
  <c r="L88" i="6"/>
  <c r="M88" i="6"/>
  <c r="K89" i="6"/>
  <c r="L89" i="6"/>
  <c r="M89" i="6"/>
  <c r="K90" i="6"/>
  <c r="L90" i="6"/>
  <c r="M90" i="6"/>
  <c r="K91" i="6"/>
  <c r="L91" i="6"/>
  <c r="M91" i="6"/>
  <c r="K92" i="6"/>
  <c r="L92" i="6"/>
  <c r="M92" i="6"/>
  <c r="K93" i="6"/>
  <c r="L93" i="6"/>
  <c r="M93" i="6"/>
  <c r="K94" i="6"/>
  <c r="L94" i="6"/>
  <c r="M94" i="6"/>
  <c r="K95" i="6"/>
  <c r="L95" i="6"/>
  <c r="M95" i="6"/>
  <c r="K96" i="6"/>
  <c r="L96" i="6"/>
  <c r="M96" i="6"/>
  <c r="K97" i="6"/>
  <c r="L97" i="6"/>
  <c r="M97" i="6"/>
  <c r="K98" i="6"/>
  <c r="L98" i="6"/>
  <c r="M98" i="6"/>
  <c r="K99" i="6"/>
  <c r="L99" i="6"/>
  <c r="M99" i="6"/>
  <c r="K100" i="6"/>
  <c r="L100" i="6"/>
  <c r="M100" i="6"/>
  <c r="K101" i="6"/>
  <c r="L101" i="6"/>
  <c r="M101" i="6"/>
  <c r="K102" i="6"/>
  <c r="L102" i="6"/>
  <c r="M102" i="6"/>
  <c r="K103" i="6"/>
  <c r="L103" i="6"/>
  <c r="M103" i="6"/>
  <c r="K104" i="6"/>
  <c r="L104" i="6"/>
  <c r="M104" i="6"/>
  <c r="K105" i="6"/>
  <c r="L105" i="6"/>
  <c r="M105" i="6"/>
  <c r="K68" i="14"/>
  <c r="L68" i="14"/>
  <c r="M68" i="14"/>
  <c r="K69" i="14"/>
  <c r="L69" i="14"/>
  <c r="M69" i="14"/>
  <c r="K70" i="14"/>
  <c r="L70" i="14"/>
  <c r="M70" i="14"/>
  <c r="K71" i="14"/>
  <c r="L71" i="14"/>
  <c r="M71" i="14"/>
  <c r="K72" i="14"/>
  <c r="L72" i="14"/>
  <c r="M72" i="14"/>
  <c r="K73" i="14"/>
  <c r="L73" i="14"/>
  <c r="M73" i="14"/>
  <c r="K74" i="14"/>
  <c r="L74" i="14"/>
  <c r="M74" i="14"/>
  <c r="K75" i="14"/>
  <c r="L75" i="14"/>
  <c r="M75" i="14"/>
  <c r="K76" i="14"/>
  <c r="L76" i="14"/>
  <c r="M76" i="14"/>
  <c r="K77" i="14"/>
  <c r="L77" i="14"/>
  <c r="M77" i="14"/>
  <c r="K78" i="14"/>
  <c r="L78" i="14"/>
  <c r="M78" i="14"/>
  <c r="K79" i="14"/>
  <c r="L79" i="14"/>
  <c r="M79" i="14"/>
  <c r="K80" i="14"/>
  <c r="L80" i="14"/>
  <c r="M80" i="14"/>
  <c r="K81" i="14"/>
  <c r="L81" i="14"/>
  <c r="M81" i="14"/>
  <c r="K82" i="14"/>
  <c r="L82" i="14"/>
  <c r="M82" i="14"/>
  <c r="K83" i="14"/>
  <c r="L83" i="14"/>
  <c r="M83" i="14"/>
  <c r="K84" i="14"/>
  <c r="L84" i="14"/>
  <c r="M84" i="14"/>
  <c r="K85" i="14"/>
  <c r="L85" i="14"/>
  <c r="M85" i="14"/>
  <c r="K86" i="14"/>
  <c r="L86" i="14"/>
  <c r="M86" i="14"/>
  <c r="K87" i="14"/>
  <c r="L87" i="14"/>
  <c r="M87" i="14"/>
  <c r="K88" i="14"/>
  <c r="L88" i="14"/>
  <c r="M88" i="14"/>
  <c r="K89" i="14"/>
  <c r="L89" i="14"/>
  <c r="M89" i="14"/>
  <c r="K90" i="14"/>
  <c r="L90" i="14"/>
  <c r="M90" i="14"/>
  <c r="K91" i="14"/>
  <c r="L91" i="14"/>
  <c r="M91" i="14"/>
  <c r="K92" i="14"/>
  <c r="L92" i="14"/>
  <c r="M92" i="14"/>
  <c r="K93" i="14"/>
  <c r="L93" i="14"/>
  <c r="M93" i="14"/>
  <c r="K94" i="14"/>
  <c r="L94" i="14"/>
  <c r="M94" i="14"/>
  <c r="K95" i="14"/>
  <c r="L95" i="14"/>
  <c r="M95" i="14"/>
  <c r="K96" i="14"/>
  <c r="L96" i="14"/>
  <c r="M96" i="14"/>
  <c r="K97" i="14"/>
  <c r="L97" i="14"/>
  <c r="M97" i="14"/>
  <c r="K98" i="14"/>
  <c r="L98" i="14"/>
  <c r="M98" i="14"/>
  <c r="K99" i="14"/>
  <c r="L99" i="14"/>
  <c r="M99" i="14"/>
  <c r="K100" i="14"/>
  <c r="L100" i="14"/>
  <c r="M100" i="14"/>
  <c r="K101" i="14"/>
  <c r="L101" i="14"/>
  <c r="M101" i="14"/>
  <c r="K102" i="14"/>
  <c r="L102" i="14"/>
  <c r="M102" i="14"/>
  <c r="K103" i="14"/>
  <c r="L103" i="14"/>
  <c r="M103" i="14"/>
  <c r="K104" i="14"/>
  <c r="L104" i="14"/>
  <c r="M104" i="14"/>
  <c r="K105" i="14"/>
  <c r="L105" i="14"/>
  <c r="M105" i="14"/>
  <c r="K71" i="8"/>
  <c r="L71" i="8"/>
  <c r="M71" i="8"/>
  <c r="K72" i="8"/>
  <c r="L72" i="8"/>
  <c r="M72" i="8"/>
  <c r="K73" i="8"/>
  <c r="L73" i="8"/>
  <c r="M73" i="8"/>
  <c r="K74" i="8"/>
  <c r="L74" i="8"/>
  <c r="M74" i="8"/>
  <c r="K75" i="8"/>
  <c r="L75" i="8"/>
  <c r="M75" i="8"/>
  <c r="K76" i="8"/>
  <c r="L76" i="8"/>
  <c r="M76" i="8"/>
  <c r="K77" i="8"/>
  <c r="L77" i="8"/>
  <c r="M77" i="8"/>
  <c r="K78" i="8"/>
  <c r="L78" i="8"/>
  <c r="M78" i="8"/>
  <c r="K79" i="8"/>
  <c r="L79" i="8"/>
  <c r="M79" i="8"/>
  <c r="K80" i="8"/>
  <c r="L80" i="8"/>
  <c r="M80" i="8"/>
  <c r="K81" i="8"/>
  <c r="L81" i="8"/>
  <c r="M81" i="8"/>
  <c r="K82" i="8"/>
  <c r="L82" i="8"/>
  <c r="M82" i="8"/>
  <c r="K83" i="8"/>
  <c r="L83" i="8"/>
  <c r="M83" i="8"/>
  <c r="K84" i="8"/>
  <c r="L84" i="8"/>
  <c r="M84" i="8"/>
  <c r="K85" i="8"/>
  <c r="L85" i="8"/>
  <c r="M85" i="8"/>
  <c r="K86" i="8"/>
  <c r="L86" i="8"/>
  <c r="M86" i="8"/>
  <c r="K87" i="8"/>
  <c r="L87" i="8"/>
  <c r="M87" i="8"/>
  <c r="K88" i="8"/>
  <c r="L88" i="8"/>
  <c r="M88" i="8"/>
  <c r="K89" i="8"/>
  <c r="L89" i="8"/>
  <c r="M89" i="8"/>
  <c r="K90" i="8"/>
  <c r="L90" i="8"/>
  <c r="M90" i="8"/>
  <c r="K91" i="8"/>
  <c r="L91" i="8"/>
  <c r="M91" i="8"/>
  <c r="K92" i="8"/>
  <c r="L92" i="8"/>
  <c r="M92" i="8"/>
  <c r="K93" i="8"/>
  <c r="L93" i="8"/>
  <c r="M93" i="8"/>
  <c r="K94" i="8"/>
  <c r="L94" i="8"/>
  <c r="M94" i="8"/>
  <c r="K95" i="8"/>
  <c r="L95" i="8"/>
  <c r="M95" i="8"/>
  <c r="K96" i="8"/>
  <c r="L96" i="8"/>
  <c r="M96" i="8"/>
  <c r="K97" i="8"/>
  <c r="L97" i="8"/>
  <c r="M97" i="8"/>
  <c r="K98" i="8"/>
  <c r="L98" i="8"/>
  <c r="M98" i="8"/>
  <c r="K99" i="8"/>
  <c r="L99" i="8"/>
  <c r="M99" i="8"/>
  <c r="K100" i="8"/>
  <c r="L100" i="8"/>
  <c r="M100" i="8"/>
  <c r="K101" i="8"/>
  <c r="L101" i="8"/>
  <c r="M101" i="8"/>
  <c r="K102" i="8"/>
  <c r="L102" i="8"/>
  <c r="M102" i="8"/>
  <c r="K103" i="8"/>
  <c r="L103" i="8"/>
  <c r="M103" i="8"/>
  <c r="K104" i="8"/>
  <c r="L104" i="8"/>
  <c r="M104" i="8"/>
  <c r="K105" i="8"/>
  <c r="L105" i="8"/>
  <c r="M105" i="8"/>
  <c r="K71" i="12"/>
  <c r="L71" i="12"/>
  <c r="M71" i="12"/>
  <c r="K72" i="12"/>
  <c r="L72" i="12"/>
  <c r="M72" i="12"/>
  <c r="K73" i="12"/>
  <c r="L73" i="12"/>
  <c r="M73" i="12"/>
  <c r="K74" i="12"/>
  <c r="L74" i="12"/>
  <c r="M74" i="12"/>
  <c r="K75" i="12"/>
  <c r="L75" i="12"/>
  <c r="M75" i="12"/>
  <c r="K76" i="12"/>
  <c r="L76" i="12"/>
  <c r="M76" i="12"/>
  <c r="K77" i="12"/>
  <c r="L77" i="12"/>
  <c r="M77" i="12"/>
  <c r="K78" i="12"/>
  <c r="L78" i="12"/>
  <c r="M78" i="12"/>
  <c r="K79" i="12"/>
  <c r="L79" i="12"/>
  <c r="M79" i="12"/>
  <c r="K80" i="12"/>
  <c r="L80" i="12"/>
  <c r="M80" i="12"/>
  <c r="K81" i="12"/>
  <c r="L81" i="12"/>
  <c r="M81" i="12"/>
  <c r="K82" i="12"/>
  <c r="L82" i="12"/>
  <c r="M82" i="12"/>
  <c r="K83" i="12"/>
  <c r="L83" i="12"/>
  <c r="M83" i="12"/>
  <c r="K84" i="12"/>
  <c r="L84" i="12"/>
  <c r="M84" i="12"/>
  <c r="K85" i="12"/>
  <c r="L85" i="12"/>
  <c r="M85" i="12"/>
  <c r="K86" i="12"/>
  <c r="L86" i="12"/>
  <c r="M86" i="12"/>
  <c r="K87" i="12"/>
  <c r="L87" i="12"/>
  <c r="M87" i="12"/>
  <c r="K88" i="12"/>
  <c r="L88" i="12"/>
  <c r="M88" i="12"/>
  <c r="K89" i="12"/>
  <c r="L89" i="12"/>
  <c r="M89" i="12"/>
  <c r="K90" i="12"/>
  <c r="L90" i="12"/>
  <c r="M90" i="12"/>
  <c r="K91" i="12"/>
  <c r="L91" i="12"/>
  <c r="M91" i="12"/>
  <c r="K92" i="12"/>
  <c r="L92" i="12"/>
  <c r="M92" i="12"/>
  <c r="K93" i="12"/>
  <c r="L93" i="12"/>
  <c r="M93" i="12"/>
  <c r="K94" i="12"/>
  <c r="L94" i="12"/>
  <c r="M94" i="12"/>
  <c r="K95" i="12"/>
  <c r="L95" i="12"/>
  <c r="M95" i="12"/>
  <c r="K96" i="12"/>
  <c r="L96" i="12"/>
  <c r="M96" i="12"/>
  <c r="K97" i="12"/>
  <c r="L97" i="12"/>
  <c r="M97" i="12"/>
  <c r="K98" i="12"/>
  <c r="L98" i="12"/>
  <c r="M98" i="12"/>
  <c r="K99" i="12"/>
  <c r="L99" i="12"/>
  <c r="M99" i="12"/>
  <c r="K100" i="12"/>
  <c r="L100" i="12"/>
  <c r="M100" i="12"/>
  <c r="K101" i="12"/>
  <c r="L101" i="12"/>
  <c r="M101" i="12"/>
  <c r="K102" i="12"/>
  <c r="L102" i="12"/>
  <c r="M102" i="12"/>
  <c r="K103" i="12"/>
  <c r="L103" i="12"/>
  <c r="M103" i="12"/>
  <c r="K104" i="12"/>
  <c r="L104" i="12"/>
  <c r="M104" i="12"/>
  <c r="K105" i="12"/>
  <c r="L105" i="12"/>
  <c r="M105" i="12"/>
  <c r="K68" i="10"/>
  <c r="L68" i="10"/>
  <c r="M68" i="10"/>
  <c r="K69" i="10"/>
  <c r="L69" i="10"/>
  <c r="M69" i="10"/>
  <c r="K70" i="10"/>
  <c r="L70" i="10"/>
  <c r="M70" i="10"/>
  <c r="K71" i="10"/>
  <c r="L71" i="10"/>
  <c r="M71" i="10"/>
  <c r="K72" i="10"/>
  <c r="L72" i="10"/>
  <c r="M72" i="10"/>
  <c r="K73" i="10"/>
  <c r="L73" i="10"/>
  <c r="M73" i="10"/>
  <c r="K74" i="10"/>
  <c r="L74" i="10"/>
  <c r="M74" i="10"/>
  <c r="K75" i="10"/>
  <c r="L75" i="10"/>
  <c r="M75" i="10"/>
  <c r="K76" i="10"/>
  <c r="L76" i="10"/>
  <c r="M76" i="10"/>
  <c r="K77" i="10"/>
  <c r="L77" i="10"/>
  <c r="M77" i="10"/>
  <c r="K78" i="10"/>
  <c r="L78" i="10"/>
  <c r="M78" i="10"/>
  <c r="K79" i="10"/>
  <c r="L79" i="10"/>
  <c r="M79" i="10"/>
  <c r="K80" i="10"/>
  <c r="L80" i="10"/>
  <c r="M80" i="10"/>
  <c r="K81" i="10"/>
  <c r="L81" i="10"/>
  <c r="M81" i="10"/>
  <c r="K82" i="10"/>
  <c r="L82" i="10"/>
  <c r="M82" i="10"/>
  <c r="K83" i="10"/>
  <c r="L83" i="10"/>
  <c r="M83" i="10"/>
  <c r="K84" i="10"/>
  <c r="L84" i="10"/>
  <c r="M84" i="10"/>
  <c r="K85" i="10"/>
  <c r="L85" i="10"/>
  <c r="M85" i="10"/>
  <c r="K86" i="10"/>
  <c r="L86" i="10"/>
  <c r="M86" i="10"/>
  <c r="K87" i="10"/>
  <c r="L87" i="10"/>
  <c r="M87" i="10"/>
  <c r="K88" i="10"/>
  <c r="L88" i="10"/>
  <c r="M88" i="10"/>
  <c r="K89" i="10"/>
  <c r="L89" i="10"/>
  <c r="M89" i="10"/>
  <c r="K90" i="10"/>
  <c r="L90" i="10"/>
  <c r="M90" i="10"/>
  <c r="K91" i="10"/>
  <c r="L91" i="10"/>
  <c r="M91" i="10"/>
  <c r="K92" i="10"/>
  <c r="L92" i="10"/>
  <c r="M92" i="10"/>
  <c r="K93" i="10"/>
  <c r="L93" i="10"/>
  <c r="M93" i="10"/>
  <c r="K94" i="10"/>
  <c r="L94" i="10"/>
  <c r="M94" i="10"/>
  <c r="K95" i="10"/>
  <c r="L95" i="10"/>
  <c r="M95" i="10"/>
  <c r="K96" i="10"/>
  <c r="L96" i="10"/>
  <c r="M96" i="10"/>
  <c r="K97" i="10"/>
  <c r="L97" i="10"/>
  <c r="M97" i="10"/>
  <c r="K98" i="10"/>
  <c r="L98" i="10"/>
  <c r="M98" i="10"/>
  <c r="K99" i="10"/>
  <c r="L99" i="10"/>
  <c r="M99" i="10"/>
  <c r="K100" i="10"/>
  <c r="L100" i="10"/>
  <c r="M100" i="10"/>
  <c r="K101" i="10"/>
  <c r="L101" i="10"/>
  <c r="M101" i="10"/>
  <c r="K102" i="10"/>
  <c r="L102" i="10"/>
  <c r="M102" i="10"/>
  <c r="K103" i="10"/>
  <c r="L103" i="10"/>
  <c r="M103" i="10"/>
  <c r="K104" i="10"/>
  <c r="L104" i="10"/>
  <c r="M104" i="10"/>
  <c r="K105" i="10"/>
  <c r="L105" i="10"/>
  <c r="M105" i="10"/>
  <c r="K73" i="15"/>
  <c r="L73" i="15"/>
  <c r="M73" i="15"/>
  <c r="K74" i="15"/>
  <c r="L74" i="15"/>
  <c r="M74" i="15"/>
  <c r="K75" i="15"/>
  <c r="L75" i="15"/>
  <c r="M75" i="15"/>
  <c r="K76" i="15"/>
  <c r="L76" i="15"/>
  <c r="M76" i="15"/>
  <c r="K77" i="15"/>
  <c r="L77" i="15"/>
  <c r="M77" i="15"/>
  <c r="K78" i="15"/>
  <c r="L78" i="15"/>
  <c r="M78" i="15"/>
  <c r="K79" i="15"/>
  <c r="L79" i="15"/>
  <c r="M79" i="15"/>
  <c r="K80" i="15"/>
  <c r="L80" i="15"/>
  <c r="M80" i="15"/>
  <c r="K81" i="15"/>
  <c r="L81" i="15"/>
  <c r="M81" i="15"/>
  <c r="K82" i="15"/>
  <c r="L82" i="15"/>
  <c r="M82" i="15"/>
  <c r="K83" i="15"/>
  <c r="L83" i="15"/>
  <c r="M83" i="15"/>
  <c r="K84" i="15"/>
  <c r="L84" i="15"/>
  <c r="M84" i="15"/>
  <c r="K85" i="15"/>
  <c r="L85" i="15"/>
  <c r="M85" i="15"/>
  <c r="K86" i="15"/>
  <c r="L86" i="15"/>
  <c r="M86" i="15"/>
  <c r="K87" i="15"/>
  <c r="L87" i="15"/>
  <c r="M87" i="15"/>
  <c r="K88" i="15"/>
  <c r="L88" i="15"/>
  <c r="M88" i="15"/>
  <c r="K89" i="15"/>
  <c r="L89" i="15"/>
  <c r="M89" i="15"/>
  <c r="K90" i="15"/>
  <c r="L90" i="15"/>
  <c r="M90" i="15"/>
  <c r="K91" i="15"/>
  <c r="L91" i="15"/>
  <c r="M91" i="15"/>
  <c r="K92" i="15"/>
  <c r="L92" i="15"/>
  <c r="M92" i="15"/>
  <c r="K93" i="15"/>
  <c r="L93" i="15"/>
  <c r="M93" i="15"/>
  <c r="K94" i="15"/>
  <c r="L94" i="15"/>
  <c r="M94" i="15"/>
  <c r="K95" i="15"/>
  <c r="L95" i="15"/>
  <c r="M95" i="15"/>
  <c r="K96" i="15"/>
  <c r="L96" i="15"/>
  <c r="M96" i="15"/>
  <c r="K97" i="15"/>
  <c r="L97" i="15"/>
  <c r="M97" i="15"/>
  <c r="K98" i="15"/>
  <c r="L98" i="15"/>
  <c r="M98" i="15"/>
  <c r="K99" i="15"/>
  <c r="L99" i="15"/>
  <c r="M99" i="15"/>
  <c r="K100" i="15"/>
  <c r="L100" i="15"/>
  <c r="M100" i="15"/>
  <c r="K101" i="15"/>
  <c r="L101" i="15"/>
  <c r="M101" i="15"/>
  <c r="K102" i="15"/>
  <c r="L102" i="15"/>
  <c r="M102" i="15"/>
  <c r="K103" i="15"/>
  <c r="L103" i="15"/>
  <c r="M103" i="15"/>
  <c r="K104" i="15"/>
  <c r="L104" i="15"/>
  <c r="M104" i="15"/>
  <c r="K105" i="15"/>
  <c r="L105" i="15"/>
  <c r="M105" i="15"/>
  <c r="K74" i="11"/>
  <c r="L74" i="11"/>
  <c r="M74" i="11"/>
  <c r="K75" i="11"/>
  <c r="L75" i="11"/>
  <c r="M75" i="11"/>
  <c r="K76" i="11"/>
  <c r="L76" i="11"/>
  <c r="M76" i="11"/>
  <c r="K77" i="11"/>
  <c r="L77" i="11"/>
  <c r="M77" i="11"/>
  <c r="K78" i="11"/>
  <c r="L78" i="11"/>
  <c r="M78" i="11"/>
  <c r="K79" i="11"/>
  <c r="L79" i="11"/>
  <c r="M79" i="11"/>
  <c r="K80" i="11"/>
  <c r="L80" i="11"/>
  <c r="M80" i="11"/>
  <c r="K81" i="11"/>
  <c r="L81" i="11"/>
  <c r="M81" i="11"/>
  <c r="K82" i="11"/>
  <c r="L82" i="11"/>
  <c r="M82" i="11"/>
  <c r="K83" i="11"/>
  <c r="L83" i="11"/>
  <c r="M83" i="11"/>
  <c r="K84" i="11"/>
  <c r="L84" i="11"/>
  <c r="M84" i="11"/>
  <c r="K85" i="11"/>
  <c r="L85" i="11"/>
  <c r="M85" i="11"/>
  <c r="K86" i="11"/>
  <c r="L86" i="11"/>
  <c r="M86" i="11"/>
  <c r="K87" i="11"/>
  <c r="L87" i="11"/>
  <c r="M87" i="11"/>
  <c r="K88" i="11"/>
  <c r="L88" i="11"/>
  <c r="M88" i="11"/>
  <c r="K89" i="11"/>
  <c r="L89" i="11"/>
  <c r="M89" i="11"/>
  <c r="K90" i="11"/>
  <c r="L90" i="11"/>
  <c r="M90" i="11"/>
  <c r="K91" i="11"/>
  <c r="L91" i="11"/>
  <c r="M91" i="11"/>
  <c r="K92" i="11"/>
  <c r="L92" i="11"/>
  <c r="M92" i="11"/>
  <c r="K93" i="11"/>
  <c r="L93" i="11"/>
  <c r="M93" i="11"/>
  <c r="K94" i="11"/>
  <c r="L94" i="11"/>
  <c r="M94" i="11"/>
  <c r="K95" i="11"/>
  <c r="L95" i="11"/>
  <c r="M95" i="11"/>
  <c r="K96" i="11"/>
  <c r="L96" i="11"/>
  <c r="M96" i="11"/>
  <c r="K97" i="11"/>
  <c r="L97" i="11"/>
  <c r="M97" i="11"/>
  <c r="K98" i="11"/>
  <c r="L98" i="11"/>
  <c r="M98" i="11"/>
  <c r="K99" i="11"/>
  <c r="L99" i="11"/>
  <c r="M99" i="11"/>
  <c r="K100" i="11"/>
  <c r="L100" i="11"/>
  <c r="M100" i="11"/>
  <c r="K101" i="11"/>
  <c r="L101" i="11"/>
  <c r="M101" i="11"/>
  <c r="K102" i="11"/>
  <c r="L102" i="11"/>
  <c r="M102" i="11"/>
  <c r="K103" i="11"/>
  <c r="L103" i="11"/>
  <c r="M103" i="11"/>
  <c r="K104" i="11"/>
  <c r="L104" i="11"/>
  <c r="M104" i="11"/>
  <c r="K105" i="11"/>
  <c r="L105" i="11"/>
  <c r="M105" i="11"/>
  <c r="K74" i="13"/>
  <c r="L74" i="13"/>
  <c r="M74" i="13"/>
  <c r="K75" i="13"/>
  <c r="L75" i="13"/>
  <c r="M75" i="13"/>
  <c r="K76" i="13"/>
  <c r="L76" i="13"/>
  <c r="M76" i="13"/>
  <c r="K77" i="13"/>
  <c r="L77" i="13"/>
  <c r="M77" i="13"/>
  <c r="K78" i="13"/>
  <c r="L78" i="13"/>
  <c r="M78" i="13"/>
  <c r="K79" i="13"/>
  <c r="L79" i="13"/>
  <c r="M79" i="13"/>
  <c r="K80" i="13"/>
  <c r="L80" i="13"/>
  <c r="M80" i="13"/>
  <c r="K81" i="13"/>
  <c r="L81" i="13"/>
  <c r="M81" i="13"/>
  <c r="K82" i="13"/>
  <c r="L82" i="13"/>
  <c r="M82" i="13"/>
  <c r="K83" i="13"/>
  <c r="L83" i="13"/>
  <c r="M83" i="13"/>
  <c r="K84" i="13"/>
  <c r="L84" i="13"/>
  <c r="M84" i="13"/>
  <c r="K85" i="13"/>
  <c r="L85" i="13"/>
  <c r="M85" i="13"/>
  <c r="K86" i="13"/>
  <c r="L86" i="13"/>
  <c r="M86" i="13"/>
  <c r="K87" i="13"/>
  <c r="L87" i="13"/>
  <c r="M87" i="13"/>
  <c r="K88" i="13"/>
  <c r="L88" i="13"/>
  <c r="M88" i="13"/>
  <c r="K89" i="13"/>
  <c r="L89" i="13"/>
  <c r="M89" i="13"/>
  <c r="K90" i="13"/>
  <c r="L90" i="13"/>
  <c r="M90" i="13"/>
  <c r="K91" i="13"/>
  <c r="L91" i="13"/>
  <c r="M91" i="13"/>
  <c r="K92" i="13"/>
  <c r="L92" i="13"/>
  <c r="M92" i="13"/>
  <c r="K93" i="13"/>
  <c r="L93" i="13"/>
  <c r="M93" i="13"/>
  <c r="K94" i="13"/>
  <c r="L94" i="13"/>
  <c r="M94" i="13"/>
  <c r="K95" i="13"/>
  <c r="L95" i="13"/>
  <c r="M95" i="13"/>
  <c r="K96" i="13"/>
  <c r="L96" i="13"/>
  <c r="M96" i="13"/>
  <c r="K97" i="13"/>
  <c r="L97" i="13"/>
  <c r="M97" i="13"/>
  <c r="K98" i="13"/>
  <c r="L98" i="13"/>
  <c r="M98" i="13"/>
  <c r="K99" i="13"/>
  <c r="L99" i="13"/>
  <c r="M99" i="13"/>
  <c r="K100" i="13"/>
  <c r="L100" i="13"/>
  <c r="M100" i="13"/>
  <c r="K101" i="13"/>
  <c r="L101" i="13"/>
  <c r="M101" i="13"/>
  <c r="K102" i="13"/>
  <c r="L102" i="13"/>
  <c r="M102" i="13"/>
  <c r="K103" i="13"/>
  <c r="L103" i="13"/>
  <c r="M103" i="13"/>
  <c r="K104" i="13"/>
  <c r="L104" i="13"/>
  <c r="M104" i="13"/>
  <c r="K105" i="13"/>
  <c r="L105" i="13"/>
  <c r="M105" i="13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87" i="1"/>
  <c r="S87" i="1"/>
  <c r="T87" i="1"/>
  <c r="R88" i="1"/>
  <c r="S88" i="1"/>
  <c r="T88" i="1"/>
  <c r="R89" i="1"/>
  <c r="S89" i="1"/>
  <c r="T89" i="1"/>
  <c r="R90" i="1"/>
  <c r="S90" i="1"/>
  <c r="T9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K4" i="5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K34" i="5"/>
  <c r="L34" i="5"/>
  <c r="M34" i="5"/>
  <c r="K35" i="5"/>
  <c r="L35" i="5"/>
  <c r="M35" i="5"/>
  <c r="K36" i="5"/>
  <c r="L36" i="5"/>
  <c r="M36" i="5"/>
  <c r="K37" i="5"/>
  <c r="L37" i="5"/>
  <c r="M37" i="5"/>
  <c r="K38" i="5"/>
  <c r="L38" i="5"/>
  <c r="M38" i="5"/>
  <c r="K39" i="5"/>
  <c r="L39" i="5"/>
  <c r="M39" i="5"/>
  <c r="K40" i="5"/>
  <c r="L40" i="5"/>
  <c r="M40" i="5"/>
  <c r="K41" i="5"/>
  <c r="L41" i="5"/>
  <c r="M41" i="5"/>
  <c r="K42" i="5"/>
  <c r="L42" i="5"/>
  <c r="M42" i="5"/>
  <c r="K43" i="5"/>
  <c r="L43" i="5"/>
  <c r="M43" i="5"/>
  <c r="K44" i="5"/>
  <c r="L44" i="5"/>
  <c r="M44" i="5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/>
  <c r="K52" i="5"/>
  <c r="L52" i="5"/>
  <c r="M52" i="5"/>
  <c r="K53" i="5"/>
  <c r="L53" i="5"/>
  <c r="M53" i="5"/>
  <c r="K54" i="5"/>
  <c r="L54" i="5"/>
  <c r="M54" i="5"/>
  <c r="K55" i="5"/>
  <c r="L55" i="5"/>
  <c r="M55" i="5"/>
  <c r="K56" i="5"/>
  <c r="L56" i="5"/>
  <c r="M56" i="5"/>
  <c r="K57" i="5"/>
  <c r="L57" i="5"/>
  <c r="M57" i="5"/>
  <c r="K58" i="5"/>
  <c r="L58" i="5"/>
  <c r="M58" i="5"/>
  <c r="K59" i="5"/>
  <c r="L59" i="5"/>
  <c r="M59" i="5"/>
  <c r="K60" i="5"/>
  <c r="L60" i="5"/>
  <c r="M60" i="5"/>
  <c r="K61" i="5"/>
  <c r="L61" i="5"/>
  <c r="M61" i="5"/>
  <c r="K62" i="5"/>
  <c r="L62" i="5"/>
  <c r="M62" i="5"/>
  <c r="K63" i="5"/>
  <c r="L63" i="5"/>
  <c r="M63" i="5"/>
  <c r="K64" i="5"/>
  <c r="L64" i="5"/>
  <c r="M64" i="5"/>
  <c r="K65" i="5"/>
  <c r="L65" i="5"/>
  <c r="M65" i="5"/>
  <c r="K66" i="5"/>
  <c r="L66" i="5"/>
  <c r="M66" i="5"/>
  <c r="K67" i="5"/>
  <c r="L67" i="5"/>
  <c r="M67" i="5"/>
  <c r="K68" i="5"/>
  <c r="L68" i="5"/>
  <c r="M68" i="5"/>
  <c r="K69" i="5"/>
  <c r="L69" i="5"/>
  <c r="M69" i="5"/>
  <c r="K4" i="6"/>
  <c r="L4" i="6"/>
  <c r="M4" i="6"/>
  <c r="K5" i="6"/>
  <c r="L5" i="6"/>
  <c r="M5" i="6"/>
  <c r="K6" i="6"/>
  <c r="L6" i="6"/>
  <c r="M6" i="6"/>
  <c r="K7" i="6"/>
  <c r="L7" i="6"/>
  <c r="M7" i="6"/>
  <c r="K8" i="6"/>
  <c r="L8" i="6"/>
  <c r="M8" i="6"/>
  <c r="K9" i="6"/>
  <c r="L9" i="6"/>
  <c r="M9" i="6"/>
  <c r="K10" i="6"/>
  <c r="L10" i="6"/>
  <c r="M10" i="6"/>
  <c r="K11" i="6"/>
  <c r="L11" i="6"/>
  <c r="M11" i="6"/>
  <c r="K12" i="6"/>
  <c r="L12" i="6"/>
  <c r="M12" i="6"/>
  <c r="K13" i="6"/>
  <c r="L13" i="6"/>
  <c r="M13" i="6"/>
  <c r="K14" i="6"/>
  <c r="L14" i="6"/>
  <c r="M14" i="6"/>
  <c r="K15" i="6"/>
  <c r="L15" i="6"/>
  <c r="M15" i="6"/>
  <c r="K16" i="6"/>
  <c r="L16" i="6"/>
  <c r="M16" i="6"/>
  <c r="K17" i="6"/>
  <c r="L17" i="6"/>
  <c r="M17" i="6"/>
  <c r="K18" i="6"/>
  <c r="L18" i="6"/>
  <c r="M18" i="6"/>
  <c r="K19" i="6"/>
  <c r="L19" i="6"/>
  <c r="M19" i="6"/>
  <c r="K20" i="6"/>
  <c r="L20" i="6"/>
  <c r="M20" i="6"/>
  <c r="K21" i="6"/>
  <c r="L21" i="6"/>
  <c r="M21" i="6"/>
  <c r="K22" i="6"/>
  <c r="L22" i="6"/>
  <c r="M22" i="6"/>
  <c r="K23" i="6"/>
  <c r="L23" i="6"/>
  <c r="M23" i="6"/>
  <c r="K24" i="6"/>
  <c r="L24" i="6"/>
  <c r="M24" i="6"/>
  <c r="K25" i="6"/>
  <c r="L25" i="6"/>
  <c r="M25" i="6"/>
  <c r="K26" i="6"/>
  <c r="L26" i="6"/>
  <c r="M26" i="6"/>
  <c r="K27" i="6"/>
  <c r="L27" i="6"/>
  <c r="M27" i="6"/>
  <c r="K28" i="6"/>
  <c r="L28" i="6"/>
  <c r="M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K36" i="6"/>
  <c r="L36" i="6"/>
  <c r="M36" i="6"/>
  <c r="K37" i="6"/>
  <c r="L37" i="6"/>
  <c r="M37" i="6"/>
  <c r="K38" i="6"/>
  <c r="L38" i="6"/>
  <c r="M38" i="6"/>
  <c r="K39" i="6"/>
  <c r="L39" i="6"/>
  <c r="M39" i="6"/>
  <c r="K40" i="6"/>
  <c r="L40" i="6"/>
  <c r="M40" i="6"/>
  <c r="K41" i="6"/>
  <c r="L41" i="6"/>
  <c r="M41" i="6"/>
  <c r="K42" i="6"/>
  <c r="L42" i="6"/>
  <c r="M42" i="6"/>
  <c r="K43" i="6"/>
  <c r="L43" i="6"/>
  <c r="M43" i="6"/>
  <c r="K44" i="6"/>
  <c r="L44" i="6"/>
  <c r="M44" i="6"/>
  <c r="K45" i="6"/>
  <c r="L45" i="6"/>
  <c r="M45" i="6"/>
  <c r="K46" i="6"/>
  <c r="L46" i="6"/>
  <c r="M46" i="6"/>
  <c r="K47" i="6"/>
  <c r="L47" i="6"/>
  <c r="M47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K54" i="6"/>
  <c r="L54" i="6"/>
  <c r="M54" i="6"/>
  <c r="K55" i="6"/>
  <c r="L55" i="6"/>
  <c r="M55" i="6"/>
  <c r="K56" i="6"/>
  <c r="L56" i="6"/>
  <c r="M56" i="6"/>
  <c r="K57" i="6"/>
  <c r="L57" i="6"/>
  <c r="M57" i="6"/>
  <c r="K58" i="6"/>
  <c r="L58" i="6"/>
  <c r="M58" i="6"/>
  <c r="K59" i="6"/>
  <c r="L59" i="6"/>
  <c r="M59" i="6"/>
  <c r="K60" i="6"/>
  <c r="L60" i="6"/>
  <c r="M60" i="6"/>
  <c r="K61" i="6"/>
  <c r="L61" i="6"/>
  <c r="M61" i="6"/>
  <c r="K62" i="6"/>
  <c r="L62" i="6"/>
  <c r="M62" i="6"/>
  <c r="K63" i="6"/>
  <c r="L63" i="6"/>
  <c r="M63" i="6"/>
  <c r="K64" i="6"/>
  <c r="L64" i="6"/>
  <c r="M64" i="6"/>
  <c r="K65" i="6"/>
  <c r="L65" i="6"/>
  <c r="M65" i="6"/>
  <c r="K66" i="6"/>
  <c r="L66" i="6"/>
  <c r="M66" i="6"/>
  <c r="K67" i="6"/>
  <c r="L67" i="6"/>
  <c r="M67" i="6"/>
  <c r="K68" i="6"/>
  <c r="L68" i="6"/>
  <c r="M68" i="6"/>
  <c r="K4" i="14"/>
  <c r="L4" i="14"/>
  <c r="M4" i="14"/>
  <c r="K5" i="14"/>
  <c r="L5" i="14"/>
  <c r="M5" i="14"/>
  <c r="K6" i="14"/>
  <c r="L6" i="14"/>
  <c r="M6" i="14"/>
  <c r="K7" i="14"/>
  <c r="L7" i="14"/>
  <c r="M7" i="14"/>
  <c r="K8" i="14"/>
  <c r="L8" i="14"/>
  <c r="M8" i="14"/>
  <c r="K9" i="14"/>
  <c r="L9" i="14"/>
  <c r="M9" i="14"/>
  <c r="K10" i="14"/>
  <c r="L10" i="14"/>
  <c r="M10" i="14"/>
  <c r="K11" i="14"/>
  <c r="L11" i="14"/>
  <c r="M11" i="14"/>
  <c r="K12" i="14"/>
  <c r="L12" i="14"/>
  <c r="M12" i="14"/>
  <c r="K13" i="14"/>
  <c r="L13" i="14"/>
  <c r="M13" i="14"/>
  <c r="K14" i="14"/>
  <c r="L14" i="14"/>
  <c r="M14" i="14"/>
  <c r="K15" i="14"/>
  <c r="L15" i="14"/>
  <c r="M15" i="14"/>
  <c r="K16" i="14"/>
  <c r="L16" i="14"/>
  <c r="M16" i="14"/>
  <c r="K17" i="14"/>
  <c r="L17" i="14"/>
  <c r="M17" i="14"/>
  <c r="K18" i="14"/>
  <c r="L18" i="14"/>
  <c r="M18" i="14"/>
  <c r="K19" i="14"/>
  <c r="L19" i="14"/>
  <c r="M19" i="14"/>
  <c r="K20" i="14"/>
  <c r="L20" i="14"/>
  <c r="M20" i="14"/>
  <c r="K21" i="14"/>
  <c r="L21" i="14"/>
  <c r="M21" i="14"/>
  <c r="K22" i="14"/>
  <c r="L22" i="14"/>
  <c r="M22" i="14"/>
  <c r="K23" i="14"/>
  <c r="L23" i="14"/>
  <c r="M23" i="14"/>
  <c r="K24" i="14"/>
  <c r="L24" i="14"/>
  <c r="M24" i="14"/>
  <c r="K25" i="14"/>
  <c r="L25" i="14"/>
  <c r="M25" i="14"/>
  <c r="K26" i="14"/>
  <c r="L26" i="14"/>
  <c r="M26" i="14"/>
  <c r="K27" i="14"/>
  <c r="L27" i="14"/>
  <c r="M27" i="14"/>
  <c r="K28" i="14"/>
  <c r="L28" i="14"/>
  <c r="M28" i="14"/>
  <c r="K29" i="14"/>
  <c r="L29" i="14"/>
  <c r="M29" i="14"/>
  <c r="K30" i="14"/>
  <c r="L30" i="14"/>
  <c r="M30" i="14"/>
  <c r="K31" i="14"/>
  <c r="L31" i="14"/>
  <c r="M31" i="14"/>
  <c r="K32" i="14"/>
  <c r="L32" i="14"/>
  <c r="M32" i="14"/>
  <c r="K33" i="14"/>
  <c r="L33" i="14"/>
  <c r="M33" i="14"/>
  <c r="K34" i="14"/>
  <c r="L34" i="14"/>
  <c r="M34" i="14"/>
  <c r="K35" i="14"/>
  <c r="L35" i="14"/>
  <c r="M35" i="14"/>
  <c r="K36" i="14"/>
  <c r="L36" i="14"/>
  <c r="M36" i="14"/>
  <c r="K37" i="14"/>
  <c r="L37" i="14"/>
  <c r="M37" i="14"/>
  <c r="K38" i="14"/>
  <c r="L38" i="14"/>
  <c r="M38" i="14"/>
  <c r="K39" i="14"/>
  <c r="L39" i="14"/>
  <c r="M39" i="14"/>
  <c r="K40" i="14"/>
  <c r="L40" i="14"/>
  <c r="M40" i="14"/>
  <c r="K41" i="14"/>
  <c r="L41" i="14"/>
  <c r="M41" i="14"/>
  <c r="K42" i="14"/>
  <c r="L42" i="14"/>
  <c r="M42" i="14"/>
  <c r="K43" i="14"/>
  <c r="L43" i="14"/>
  <c r="M43" i="14"/>
  <c r="K44" i="14"/>
  <c r="L44" i="14"/>
  <c r="M44" i="14"/>
  <c r="K45" i="14"/>
  <c r="L45" i="14"/>
  <c r="M45" i="14"/>
  <c r="K46" i="14"/>
  <c r="L46" i="14"/>
  <c r="M46" i="14"/>
  <c r="K47" i="14"/>
  <c r="L47" i="14"/>
  <c r="M47" i="14"/>
  <c r="K48" i="14"/>
  <c r="L48" i="14"/>
  <c r="M48" i="14"/>
  <c r="K49" i="14"/>
  <c r="L49" i="14"/>
  <c r="M49" i="14"/>
  <c r="K50" i="14"/>
  <c r="L50" i="14"/>
  <c r="M50" i="14"/>
  <c r="K51" i="14"/>
  <c r="L51" i="14"/>
  <c r="M51" i="14"/>
  <c r="K52" i="14"/>
  <c r="L52" i="14"/>
  <c r="M52" i="14"/>
  <c r="K53" i="14"/>
  <c r="L53" i="14"/>
  <c r="M53" i="14"/>
  <c r="K54" i="14"/>
  <c r="L54" i="14"/>
  <c r="M54" i="14"/>
  <c r="K55" i="14"/>
  <c r="L55" i="14"/>
  <c r="M55" i="14"/>
  <c r="K56" i="14"/>
  <c r="L56" i="14"/>
  <c r="M56" i="14"/>
  <c r="K57" i="14"/>
  <c r="L57" i="14"/>
  <c r="M57" i="14"/>
  <c r="K58" i="14"/>
  <c r="L58" i="14"/>
  <c r="M58" i="14"/>
  <c r="K59" i="14"/>
  <c r="L59" i="14"/>
  <c r="M59" i="14"/>
  <c r="K60" i="14"/>
  <c r="L60" i="14"/>
  <c r="M60" i="14"/>
  <c r="K61" i="14"/>
  <c r="L61" i="14"/>
  <c r="M61" i="14"/>
  <c r="K62" i="14"/>
  <c r="L62" i="14"/>
  <c r="M62" i="14"/>
  <c r="K63" i="14"/>
  <c r="L63" i="14"/>
  <c r="M63" i="14"/>
  <c r="K64" i="14"/>
  <c r="L64" i="14"/>
  <c r="M64" i="14"/>
  <c r="K65" i="14"/>
  <c r="L65" i="14"/>
  <c r="M65" i="14"/>
  <c r="K66" i="14"/>
  <c r="L66" i="14"/>
  <c r="M66" i="14"/>
  <c r="K67" i="14"/>
  <c r="L67" i="14"/>
  <c r="M67" i="14"/>
  <c r="K4" i="15"/>
  <c r="L4" i="15"/>
  <c r="M4" i="15"/>
  <c r="K5" i="15"/>
  <c r="L5" i="15"/>
  <c r="M5" i="15"/>
  <c r="K6" i="15"/>
  <c r="L6" i="15"/>
  <c r="M6" i="15"/>
  <c r="K7" i="15"/>
  <c r="L7" i="15"/>
  <c r="M7" i="15"/>
  <c r="K8" i="15"/>
  <c r="L8" i="15"/>
  <c r="M8" i="15"/>
  <c r="K9" i="15"/>
  <c r="L9" i="15"/>
  <c r="M9" i="15"/>
  <c r="K10" i="15"/>
  <c r="L10" i="15"/>
  <c r="M10" i="15"/>
  <c r="K11" i="15"/>
  <c r="L11" i="15"/>
  <c r="M11" i="15"/>
  <c r="K12" i="15"/>
  <c r="L12" i="15"/>
  <c r="M12" i="15"/>
  <c r="K13" i="15"/>
  <c r="L13" i="15"/>
  <c r="M13" i="15"/>
  <c r="K14" i="15"/>
  <c r="L14" i="15"/>
  <c r="M14" i="15"/>
  <c r="K15" i="15"/>
  <c r="L15" i="15"/>
  <c r="M15" i="15"/>
  <c r="K16" i="15"/>
  <c r="L16" i="15"/>
  <c r="M16" i="15"/>
  <c r="K17" i="15"/>
  <c r="L17" i="15"/>
  <c r="M17" i="15"/>
  <c r="K18" i="15"/>
  <c r="L18" i="15"/>
  <c r="M18" i="15"/>
  <c r="K19" i="15"/>
  <c r="L19" i="15"/>
  <c r="M19" i="15"/>
  <c r="K20" i="15"/>
  <c r="L20" i="15"/>
  <c r="M20" i="15"/>
  <c r="K21" i="15"/>
  <c r="L21" i="15"/>
  <c r="M21" i="15"/>
  <c r="K22" i="15"/>
  <c r="L22" i="15"/>
  <c r="M22" i="15"/>
  <c r="K23" i="15"/>
  <c r="L23" i="15"/>
  <c r="M23" i="15"/>
  <c r="K24" i="15"/>
  <c r="L24" i="15"/>
  <c r="M24" i="15"/>
  <c r="K25" i="15"/>
  <c r="L25" i="15"/>
  <c r="M25" i="15"/>
  <c r="K26" i="15"/>
  <c r="L26" i="15"/>
  <c r="M26" i="15"/>
  <c r="K27" i="15"/>
  <c r="L27" i="15"/>
  <c r="M27" i="15"/>
  <c r="K28" i="15"/>
  <c r="L28" i="15"/>
  <c r="M28" i="15"/>
  <c r="K29" i="15"/>
  <c r="L29" i="15"/>
  <c r="M29" i="15"/>
  <c r="K30" i="15"/>
  <c r="L30" i="15"/>
  <c r="M30" i="15"/>
  <c r="K31" i="15"/>
  <c r="L31" i="15"/>
  <c r="M31" i="15"/>
  <c r="K32" i="15"/>
  <c r="L32" i="15"/>
  <c r="M32" i="15"/>
  <c r="K33" i="15"/>
  <c r="L33" i="15"/>
  <c r="M33" i="15"/>
  <c r="K34" i="15"/>
  <c r="L34" i="15"/>
  <c r="M34" i="15"/>
  <c r="K35" i="15"/>
  <c r="L35" i="15"/>
  <c r="M35" i="15"/>
  <c r="K36" i="15"/>
  <c r="L36" i="15"/>
  <c r="M36" i="15"/>
  <c r="K37" i="15"/>
  <c r="L37" i="15"/>
  <c r="M37" i="15"/>
  <c r="K38" i="15"/>
  <c r="L38" i="15"/>
  <c r="M38" i="15"/>
  <c r="K39" i="15"/>
  <c r="L39" i="15"/>
  <c r="M39" i="15"/>
  <c r="K40" i="15"/>
  <c r="L40" i="15"/>
  <c r="M40" i="15"/>
  <c r="K41" i="15"/>
  <c r="L41" i="15"/>
  <c r="M41" i="15"/>
  <c r="K42" i="15"/>
  <c r="L42" i="15"/>
  <c r="M42" i="15"/>
  <c r="K43" i="15"/>
  <c r="L43" i="15"/>
  <c r="M43" i="15"/>
  <c r="K44" i="15"/>
  <c r="L44" i="15"/>
  <c r="M44" i="15"/>
  <c r="K45" i="15"/>
  <c r="L45" i="15"/>
  <c r="M45" i="15"/>
  <c r="K46" i="15"/>
  <c r="L46" i="15"/>
  <c r="M46" i="15"/>
  <c r="K47" i="15"/>
  <c r="L47" i="15"/>
  <c r="M47" i="15"/>
  <c r="K48" i="15"/>
  <c r="L48" i="15"/>
  <c r="M48" i="15"/>
  <c r="K49" i="15"/>
  <c r="L49" i="15"/>
  <c r="M49" i="15"/>
  <c r="K50" i="15"/>
  <c r="L50" i="15"/>
  <c r="M50" i="15"/>
  <c r="K51" i="15"/>
  <c r="L51" i="15"/>
  <c r="M51" i="15"/>
  <c r="K52" i="15"/>
  <c r="L52" i="15"/>
  <c r="M52" i="15"/>
  <c r="K53" i="15"/>
  <c r="L53" i="15"/>
  <c r="M53" i="15"/>
  <c r="K54" i="15"/>
  <c r="L54" i="15"/>
  <c r="M54" i="15"/>
  <c r="K55" i="15"/>
  <c r="L55" i="15"/>
  <c r="M55" i="15"/>
  <c r="K56" i="15"/>
  <c r="L56" i="15"/>
  <c r="M56" i="15"/>
  <c r="K57" i="15"/>
  <c r="L57" i="15"/>
  <c r="M57" i="15"/>
  <c r="K58" i="15"/>
  <c r="L58" i="15"/>
  <c r="M58" i="15"/>
  <c r="K59" i="15"/>
  <c r="L59" i="15"/>
  <c r="M59" i="15"/>
  <c r="K60" i="15"/>
  <c r="L60" i="15"/>
  <c r="M60" i="15"/>
  <c r="K61" i="15"/>
  <c r="L61" i="15"/>
  <c r="M61" i="15"/>
  <c r="K62" i="15"/>
  <c r="L62" i="15"/>
  <c r="M62" i="15"/>
  <c r="K63" i="15"/>
  <c r="L63" i="15"/>
  <c r="M63" i="15"/>
  <c r="K64" i="15"/>
  <c r="L64" i="15"/>
  <c r="M64" i="15"/>
  <c r="K65" i="15"/>
  <c r="L65" i="15"/>
  <c r="M65" i="15"/>
  <c r="K66" i="15"/>
  <c r="L66" i="15"/>
  <c r="M66" i="15"/>
  <c r="K67" i="15"/>
  <c r="L67" i="15"/>
  <c r="M67" i="15"/>
  <c r="K68" i="15"/>
  <c r="L68" i="15"/>
  <c r="M68" i="15"/>
  <c r="K69" i="15"/>
  <c r="L69" i="15"/>
  <c r="M69" i="15"/>
  <c r="K70" i="15"/>
  <c r="L70" i="15"/>
  <c r="M70" i="15"/>
  <c r="K71" i="15"/>
  <c r="L71" i="15"/>
  <c r="M71" i="15"/>
  <c r="K72" i="15"/>
  <c r="L72" i="15"/>
  <c r="M72" i="15"/>
  <c r="K5" i="8"/>
  <c r="L5" i="8"/>
  <c r="M5" i="8"/>
  <c r="K6" i="8"/>
  <c r="L6" i="8"/>
  <c r="M6" i="8"/>
  <c r="K7" i="8"/>
  <c r="L7" i="8"/>
  <c r="M7" i="8"/>
  <c r="K8" i="8"/>
  <c r="L8" i="8"/>
  <c r="M8" i="8"/>
  <c r="K9" i="8"/>
  <c r="L9" i="8"/>
  <c r="M9" i="8"/>
  <c r="K10" i="8"/>
  <c r="L10" i="8"/>
  <c r="M10" i="8"/>
  <c r="K11" i="8"/>
  <c r="L11" i="8"/>
  <c r="M11" i="8"/>
  <c r="K12" i="8"/>
  <c r="L12" i="8"/>
  <c r="M12" i="8"/>
  <c r="K13" i="8"/>
  <c r="L13" i="8"/>
  <c r="M13" i="8"/>
  <c r="K14" i="8"/>
  <c r="L14" i="8"/>
  <c r="M14" i="8"/>
  <c r="K15" i="8"/>
  <c r="L15" i="8"/>
  <c r="M15" i="8"/>
  <c r="K16" i="8"/>
  <c r="L16" i="8"/>
  <c r="M16" i="8"/>
  <c r="K17" i="8"/>
  <c r="L17" i="8"/>
  <c r="M17" i="8"/>
  <c r="K18" i="8"/>
  <c r="L18" i="8"/>
  <c r="M18" i="8"/>
  <c r="K19" i="8"/>
  <c r="L19" i="8"/>
  <c r="M19" i="8"/>
  <c r="K20" i="8"/>
  <c r="L20" i="8"/>
  <c r="M20" i="8"/>
  <c r="K21" i="8"/>
  <c r="L21" i="8"/>
  <c r="M21" i="8"/>
  <c r="K22" i="8"/>
  <c r="L22" i="8"/>
  <c r="M22" i="8"/>
  <c r="K23" i="8"/>
  <c r="L23" i="8"/>
  <c r="M23" i="8"/>
  <c r="K24" i="8"/>
  <c r="L24" i="8"/>
  <c r="M24" i="8"/>
  <c r="K25" i="8"/>
  <c r="L25" i="8"/>
  <c r="M25" i="8"/>
  <c r="K26" i="8"/>
  <c r="L26" i="8"/>
  <c r="M26" i="8"/>
  <c r="K27" i="8"/>
  <c r="L27" i="8"/>
  <c r="M27" i="8"/>
  <c r="K28" i="8"/>
  <c r="L28" i="8"/>
  <c r="M28" i="8"/>
  <c r="K29" i="8"/>
  <c r="L29" i="8"/>
  <c r="M29" i="8"/>
  <c r="K30" i="8"/>
  <c r="L30" i="8"/>
  <c r="M30" i="8"/>
  <c r="K31" i="8"/>
  <c r="L31" i="8"/>
  <c r="M31" i="8"/>
  <c r="K32" i="8"/>
  <c r="L32" i="8"/>
  <c r="M32" i="8"/>
  <c r="K33" i="8"/>
  <c r="L33" i="8"/>
  <c r="M33" i="8"/>
  <c r="K34" i="8"/>
  <c r="L34" i="8"/>
  <c r="M34" i="8"/>
  <c r="K35" i="8"/>
  <c r="L35" i="8"/>
  <c r="M35" i="8"/>
  <c r="K36" i="8"/>
  <c r="L36" i="8"/>
  <c r="M36" i="8"/>
  <c r="K37" i="8"/>
  <c r="L37" i="8"/>
  <c r="M37" i="8"/>
  <c r="K38" i="8"/>
  <c r="L38" i="8"/>
  <c r="M38" i="8"/>
  <c r="K39" i="8"/>
  <c r="L39" i="8"/>
  <c r="M39" i="8"/>
  <c r="K40" i="8"/>
  <c r="L40" i="8"/>
  <c r="M40" i="8"/>
  <c r="K41" i="8"/>
  <c r="L41" i="8"/>
  <c r="M41" i="8"/>
  <c r="K42" i="8"/>
  <c r="L42" i="8"/>
  <c r="M42" i="8"/>
  <c r="K43" i="8"/>
  <c r="L43" i="8"/>
  <c r="M43" i="8"/>
  <c r="K44" i="8"/>
  <c r="L44" i="8"/>
  <c r="M44" i="8"/>
  <c r="K45" i="8"/>
  <c r="L45" i="8"/>
  <c r="M45" i="8"/>
  <c r="K46" i="8"/>
  <c r="L46" i="8"/>
  <c r="M46" i="8"/>
  <c r="K47" i="8"/>
  <c r="L47" i="8"/>
  <c r="M47" i="8"/>
  <c r="K48" i="8"/>
  <c r="L48" i="8"/>
  <c r="M48" i="8"/>
  <c r="K49" i="8"/>
  <c r="L49" i="8"/>
  <c r="M49" i="8"/>
  <c r="K50" i="8"/>
  <c r="L50" i="8"/>
  <c r="M50" i="8"/>
  <c r="K51" i="8"/>
  <c r="L51" i="8"/>
  <c r="M51" i="8"/>
  <c r="K52" i="8"/>
  <c r="L52" i="8"/>
  <c r="M52" i="8"/>
  <c r="K53" i="8"/>
  <c r="L53" i="8"/>
  <c r="M53" i="8"/>
  <c r="K54" i="8"/>
  <c r="L54" i="8"/>
  <c r="M54" i="8"/>
  <c r="K55" i="8"/>
  <c r="L55" i="8"/>
  <c r="M55" i="8"/>
  <c r="K56" i="8"/>
  <c r="L56" i="8"/>
  <c r="M56" i="8"/>
  <c r="K57" i="8"/>
  <c r="L57" i="8"/>
  <c r="M57" i="8"/>
  <c r="K58" i="8"/>
  <c r="L58" i="8"/>
  <c r="M58" i="8"/>
  <c r="K59" i="8"/>
  <c r="L59" i="8"/>
  <c r="M59" i="8"/>
  <c r="K60" i="8"/>
  <c r="L60" i="8"/>
  <c r="M60" i="8"/>
  <c r="K61" i="8"/>
  <c r="L61" i="8"/>
  <c r="M61" i="8"/>
  <c r="K62" i="8"/>
  <c r="L62" i="8"/>
  <c r="M62" i="8"/>
  <c r="K63" i="8"/>
  <c r="L63" i="8"/>
  <c r="M63" i="8"/>
  <c r="K64" i="8"/>
  <c r="L64" i="8"/>
  <c r="M64" i="8"/>
  <c r="K65" i="8"/>
  <c r="L65" i="8"/>
  <c r="M65" i="8"/>
  <c r="K66" i="8"/>
  <c r="L66" i="8"/>
  <c r="M66" i="8"/>
  <c r="K67" i="8"/>
  <c r="L67" i="8"/>
  <c r="M67" i="8"/>
  <c r="K68" i="8"/>
  <c r="L68" i="8"/>
  <c r="M68" i="8"/>
  <c r="K69" i="8"/>
  <c r="L69" i="8"/>
  <c r="M69" i="8"/>
  <c r="K70" i="8"/>
  <c r="L70" i="8"/>
  <c r="M70" i="8"/>
  <c r="K4" i="10"/>
  <c r="L4" i="10"/>
  <c r="M4" i="10"/>
  <c r="K5" i="10"/>
  <c r="L5" i="10"/>
  <c r="M5" i="10"/>
  <c r="K6" i="10"/>
  <c r="L6" i="10"/>
  <c r="M6" i="10"/>
  <c r="K7" i="10"/>
  <c r="L7" i="10"/>
  <c r="M7" i="10"/>
  <c r="K8" i="10"/>
  <c r="L8" i="10"/>
  <c r="M8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K15" i="10"/>
  <c r="L15" i="10"/>
  <c r="M15" i="10"/>
  <c r="K16" i="10"/>
  <c r="L16" i="10"/>
  <c r="M16" i="10"/>
  <c r="K17" i="10"/>
  <c r="L17" i="10"/>
  <c r="M17" i="10"/>
  <c r="K18" i="10"/>
  <c r="L18" i="10"/>
  <c r="M18" i="10"/>
  <c r="K19" i="10"/>
  <c r="L19" i="10"/>
  <c r="M19" i="10"/>
  <c r="K20" i="10"/>
  <c r="L20" i="10"/>
  <c r="M20" i="10"/>
  <c r="K21" i="10"/>
  <c r="L21" i="10"/>
  <c r="M21" i="10"/>
  <c r="K22" i="10"/>
  <c r="L22" i="10"/>
  <c r="M22" i="10"/>
  <c r="K23" i="10"/>
  <c r="L23" i="10"/>
  <c r="M23" i="10"/>
  <c r="K24" i="10"/>
  <c r="L24" i="10"/>
  <c r="M24" i="10"/>
  <c r="K25" i="10"/>
  <c r="L25" i="10"/>
  <c r="M25" i="10"/>
  <c r="K26" i="10"/>
  <c r="L26" i="10"/>
  <c r="M26" i="10"/>
  <c r="K27" i="10"/>
  <c r="L27" i="10"/>
  <c r="M27" i="10"/>
  <c r="K28" i="10"/>
  <c r="L28" i="10"/>
  <c r="M28" i="10"/>
  <c r="K29" i="10"/>
  <c r="L29" i="10"/>
  <c r="M29" i="10"/>
  <c r="K30" i="10"/>
  <c r="L30" i="10"/>
  <c r="M30" i="10"/>
  <c r="K31" i="10"/>
  <c r="L31" i="10"/>
  <c r="M31" i="10"/>
  <c r="K32" i="10"/>
  <c r="L32" i="10"/>
  <c r="M32" i="10"/>
  <c r="K33" i="10"/>
  <c r="L33" i="10"/>
  <c r="M33" i="10"/>
  <c r="K34" i="10"/>
  <c r="L34" i="10"/>
  <c r="M34" i="10"/>
  <c r="K35" i="10"/>
  <c r="L35" i="10"/>
  <c r="M35" i="10"/>
  <c r="K36" i="10"/>
  <c r="L36" i="10"/>
  <c r="M36" i="10"/>
  <c r="K37" i="10"/>
  <c r="L37" i="10"/>
  <c r="M37" i="10"/>
  <c r="K38" i="10"/>
  <c r="L38" i="10"/>
  <c r="M38" i="10"/>
  <c r="K39" i="10"/>
  <c r="L39" i="10"/>
  <c r="M39" i="10"/>
  <c r="K40" i="10"/>
  <c r="L40" i="10"/>
  <c r="M40" i="10"/>
  <c r="K41" i="10"/>
  <c r="L41" i="10"/>
  <c r="M41" i="10"/>
  <c r="K42" i="10"/>
  <c r="L42" i="10"/>
  <c r="M42" i="10"/>
  <c r="K43" i="10"/>
  <c r="L43" i="10"/>
  <c r="M43" i="10"/>
  <c r="K44" i="10"/>
  <c r="L44" i="10"/>
  <c r="M44" i="10"/>
  <c r="K45" i="10"/>
  <c r="L45" i="10"/>
  <c r="M45" i="10"/>
  <c r="K46" i="10"/>
  <c r="L46" i="10"/>
  <c r="M46" i="10"/>
  <c r="K47" i="10"/>
  <c r="L47" i="10"/>
  <c r="M47" i="10"/>
  <c r="K48" i="10"/>
  <c r="L48" i="10"/>
  <c r="M48" i="10"/>
  <c r="K49" i="10"/>
  <c r="L49" i="10"/>
  <c r="M49" i="10"/>
  <c r="K50" i="10"/>
  <c r="L50" i="10"/>
  <c r="M50" i="10"/>
  <c r="K51" i="10"/>
  <c r="L51" i="10"/>
  <c r="M51" i="10"/>
  <c r="K52" i="10"/>
  <c r="L52" i="10"/>
  <c r="M52" i="10"/>
  <c r="K53" i="10"/>
  <c r="L53" i="10"/>
  <c r="M53" i="10"/>
  <c r="K54" i="10"/>
  <c r="L54" i="10"/>
  <c r="M54" i="10"/>
  <c r="K55" i="10"/>
  <c r="L55" i="10"/>
  <c r="M55" i="10"/>
  <c r="K56" i="10"/>
  <c r="L56" i="10"/>
  <c r="M56" i="10"/>
  <c r="K57" i="10"/>
  <c r="L57" i="10"/>
  <c r="M57" i="10"/>
  <c r="K58" i="10"/>
  <c r="L58" i="10"/>
  <c r="M58" i="10"/>
  <c r="K59" i="10"/>
  <c r="L59" i="10"/>
  <c r="M59" i="10"/>
  <c r="K60" i="10"/>
  <c r="L60" i="10"/>
  <c r="M60" i="10"/>
  <c r="K61" i="10"/>
  <c r="L61" i="10"/>
  <c r="M61" i="10"/>
  <c r="K62" i="10"/>
  <c r="L62" i="10"/>
  <c r="M62" i="10"/>
  <c r="K63" i="10"/>
  <c r="L63" i="10"/>
  <c r="M63" i="10"/>
  <c r="K64" i="10"/>
  <c r="L64" i="10"/>
  <c r="M64" i="10"/>
  <c r="K65" i="10"/>
  <c r="L65" i="10"/>
  <c r="M65" i="10"/>
  <c r="K66" i="10"/>
  <c r="L66" i="10"/>
  <c r="M66" i="10"/>
  <c r="K67" i="10"/>
  <c r="L67" i="10"/>
  <c r="M67" i="10"/>
  <c r="K4" i="11"/>
  <c r="L4" i="11"/>
  <c r="M4" i="11"/>
  <c r="K5" i="11"/>
  <c r="L5" i="11"/>
  <c r="M5" i="11"/>
  <c r="K6" i="11"/>
  <c r="L6" i="11"/>
  <c r="M6" i="11"/>
  <c r="K7" i="11"/>
  <c r="L7" i="11"/>
  <c r="M7" i="11"/>
  <c r="K8" i="11"/>
  <c r="L8" i="11"/>
  <c r="M8" i="11"/>
  <c r="K9" i="11"/>
  <c r="L9" i="11"/>
  <c r="M9" i="11"/>
  <c r="K10" i="11"/>
  <c r="L10" i="11"/>
  <c r="M10" i="11"/>
  <c r="K11" i="11"/>
  <c r="L11" i="11"/>
  <c r="M11" i="11"/>
  <c r="K12" i="11"/>
  <c r="L12" i="11"/>
  <c r="M12" i="11"/>
  <c r="K13" i="11"/>
  <c r="L13" i="11"/>
  <c r="M13" i="11"/>
  <c r="K14" i="11"/>
  <c r="L14" i="11"/>
  <c r="M14" i="11"/>
  <c r="K15" i="11"/>
  <c r="L15" i="11"/>
  <c r="M15" i="11"/>
  <c r="K16" i="11"/>
  <c r="L16" i="11"/>
  <c r="M16" i="11"/>
  <c r="K17" i="11"/>
  <c r="L17" i="11"/>
  <c r="M17" i="11"/>
  <c r="K18" i="11"/>
  <c r="L18" i="11"/>
  <c r="M18" i="11"/>
  <c r="K19" i="11"/>
  <c r="L19" i="11"/>
  <c r="M19" i="11"/>
  <c r="K20" i="11"/>
  <c r="L20" i="11"/>
  <c r="M20" i="11"/>
  <c r="K21" i="11"/>
  <c r="L21" i="11"/>
  <c r="M21" i="11"/>
  <c r="K22" i="11"/>
  <c r="L22" i="11"/>
  <c r="M22" i="11"/>
  <c r="K23" i="11"/>
  <c r="L23" i="11"/>
  <c r="M23" i="11"/>
  <c r="K24" i="11"/>
  <c r="L24" i="11"/>
  <c r="M24" i="11"/>
  <c r="K25" i="11"/>
  <c r="L25" i="11"/>
  <c r="M25" i="11"/>
  <c r="K26" i="11"/>
  <c r="L26" i="11"/>
  <c r="M26" i="11"/>
  <c r="K27" i="11"/>
  <c r="L27" i="11"/>
  <c r="M27" i="11"/>
  <c r="K28" i="11"/>
  <c r="L28" i="11"/>
  <c r="M28" i="11"/>
  <c r="K29" i="11"/>
  <c r="L29" i="11"/>
  <c r="M29" i="11"/>
  <c r="K30" i="11"/>
  <c r="L30" i="11"/>
  <c r="M30" i="11"/>
  <c r="K31" i="11"/>
  <c r="L31" i="11"/>
  <c r="M31" i="11"/>
  <c r="K32" i="11"/>
  <c r="L32" i="11"/>
  <c r="M32" i="11"/>
  <c r="K33" i="11"/>
  <c r="L33" i="11"/>
  <c r="M33" i="11"/>
  <c r="K34" i="11"/>
  <c r="L34" i="11"/>
  <c r="M34" i="11"/>
  <c r="K35" i="11"/>
  <c r="L35" i="11"/>
  <c r="M35" i="11"/>
  <c r="K36" i="11"/>
  <c r="L36" i="11"/>
  <c r="M36" i="11"/>
  <c r="K37" i="11"/>
  <c r="L37" i="11"/>
  <c r="M37" i="11"/>
  <c r="K38" i="11"/>
  <c r="L38" i="11"/>
  <c r="M38" i="11"/>
  <c r="K39" i="11"/>
  <c r="L39" i="11"/>
  <c r="M39" i="11"/>
  <c r="K40" i="11"/>
  <c r="L40" i="11"/>
  <c r="M40" i="11"/>
  <c r="K41" i="11"/>
  <c r="L41" i="11"/>
  <c r="M41" i="11"/>
  <c r="K42" i="11"/>
  <c r="L42" i="11"/>
  <c r="M42" i="11"/>
  <c r="K43" i="11"/>
  <c r="L43" i="11"/>
  <c r="M43" i="11"/>
  <c r="K44" i="11"/>
  <c r="L44" i="11"/>
  <c r="M44" i="11"/>
  <c r="K45" i="11"/>
  <c r="L45" i="11"/>
  <c r="M45" i="11"/>
  <c r="K46" i="11"/>
  <c r="L46" i="11"/>
  <c r="M46" i="11"/>
  <c r="K47" i="11"/>
  <c r="L47" i="11"/>
  <c r="M47" i="11"/>
  <c r="K48" i="11"/>
  <c r="L48" i="11"/>
  <c r="M48" i="11"/>
  <c r="K49" i="11"/>
  <c r="L49" i="11"/>
  <c r="M49" i="11"/>
  <c r="K50" i="11"/>
  <c r="L50" i="11"/>
  <c r="M50" i="11"/>
  <c r="K51" i="11"/>
  <c r="L51" i="11"/>
  <c r="M51" i="11"/>
  <c r="K52" i="11"/>
  <c r="L52" i="11"/>
  <c r="M52" i="11"/>
  <c r="K53" i="11"/>
  <c r="L53" i="11"/>
  <c r="M53" i="11"/>
  <c r="K54" i="11"/>
  <c r="L54" i="11"/>
  <c r="M54" i="11"/>
  <c r="K55" i="11"/>
  <c r="L55" i="11"/>
  <c r="M55" i="11"/>
  <c r="K56" i="11"/>
  <c r="L56" i="11"/>
  <c r="M56" i="11"/>
  <c r="K57" i="11"/>
  <c r="L57" i="11"/>
  <c r="M57" i="11"/>
  <c r="K58" i="11"/>
  <c r="L58" i="11"/>
  <c r="M58" i="11"/>
  <c r="K59" i="11"/>
  <c r="L59" i="11"/>
  <c r="M59" i="11"/>
  <c r="K60" i="11"/>
  <c r="L60" i="11"/>
  <c r="M60" i="11"/>
  <c r="K61" i="11"/>
  <c r="L61" i="11"/>
  <c r="M61" i="11"/>
  <c r="K62" i="11"/>
  <c r="L62" i="11"/>
  <c r="M62" i="11"/>
  <c r="K63" i="11"/>
  <c r="L63" i="11"/>
  <c r="M63" i="11"/>
  <c r="K64" i="11"/>
  <c r="L64" i="11"/>
  <c r="M64" i="11"/>
  <c r="K65" i="11"/>
  <c r="L65" i="11"/>
  <c r="M65" i="11"/>
  <c r="K66" i="11"/>
  <c r="L66" i="11"/>
  <c r="M66" i="11"/>
  <c r="K67" i="11"/>
  <c r="L67" i="11"/>
  <c r="M67" i="11"/>
  <c r="K68" i="11"/>
  <c r="L68" i="11"/>
  <c r="M68" i="11"/>
  <c r="K69" i="11"/>
  <c r="L69" i="11"/>
  <c r="M69" i="11"/>
  <c r="K70" i="11"/>
  <c r="L70" i="11"/>
  <c r="M70" i="11"/>
  <c r="K71" i="11"/>
  <c r="L71" i="11"/>
  <c r="M71" i="11"/>
  <c r="K72" i="11"/>
  <c r="L72" i="11"/>
  <c r="M72" i="11"/>
  <c r="K73" i="11"/>
  <c r="L73" i="11"/>
  <c r="M73" i="11"/>
  <c r="K4" i="12"/>
  <c r="L4" i="12"/>
  <c r="M4" i="12"/>
  <c r="K5" i="12"/>
  <c r="L5" i="12"/>
  <c r="M5" i="12"/>
  <c r="K6" i="12"/>
  <c r="L6" i="12"/>
  <c r="M6" i="12"/>
  <c r="K7" i="12"/>
  <c r="L7" i="12"/>
  <c r="M7" i="12"/>
  <c r="K8" i="12"/>
  <c r="L8" i="12"/>
  <c r="M8" i="12"/>
  <c r="K9" i="12"/>
  <c r="L9" i="12"/>
  <c r="M9" i="12"/>
  <c r="K10" i="12"/>
  <c r="L10" i="12"/>
  <c r="M10" i="12"/>
  <c r="K11" i="12"/>
  <c r="L11" i="12"/>
  <c r="M11" i="12"/>
  <c r="K12" i="12"/>
  <c r="L12" i="12"/>
  <c r="M12" i="12"/>
  <c r="K13" i="12"/>
  <c r="L13" i="12"/>
  <c r="M13" i="12"/>
  <c r="K14" i="12"/>
  <c r="L14" i="12"/>
  <c r="M14" i="12"/>
  <c r="K15" i="12"/>
  <c r="L15" i="12"/>
  <c r="M15" i="12"/>
  <c r="K16" i="12"/>
  <c r="L16" i="12"/>
  <c r="M16" i="12"/>
  <c r="K17" i="12"/>
  <c r="L17" i="12"/>
  <c r="M17" i="12"/>
  <c r="K18" i="12"/>
  <c r="L18" i="12"/>
  <c r="M18" i="12"/>
  <c r="K19" i="12"/>
  <c r="L19" i="12"/>
  <c r="M19" i="12"/>
  <c r="K20" i="12"/>
  <c r="L20" i="12"/>
  <c r="M20" i="12"/>
  <c r="K21" i="12"/>
  <c r="L21" i="12"/>
  <c r="M21" i="12"/>
  <c r="K22" i="12"/>
  <c r="L22" i="12"/>
  <c r="M22" i="12"/>
  <c r="K23" i="12"/>
  <c r="L23" i="12"/>
  <c r="M23" i="12"/>
  <c r="K24" i="12"/>
  <c r="L24" i="12"/>
  <c r="M24" i="12"/>
  <c r="K25" i="12"/>
  <c r="L25" i="12"/>
  <c r="M25" i="12"/>
  <c r="K26" i="12"/>
  <c r="L26" i="12"/>
  <c r="M26" i="12"/>
  <c r="K27" i="12"/>
  <c r="L27" i="12"/>
  <c r="M27" i="12"/>
  <c r="K28" i="12"/>
  <c r="L28" i="12"/>
  <c r="M28" i="12"/>
  <c r="K29" i="12"/>
  <c r="L29" i="12"/>
  <c r="M29" i="12"/>
  <c r="K30" i="12"/>
  <c r="L30" i="12"/>
  <c r="M30" i="12"/>
  <c r="K31" i="12"/>
  <c r="L31" i="12"/>
  <c r="M31" i="12"/>
  <c r="K32" i="12"/>
  <c r="L32" i="12"/>
  <c r="M32" i="12"/>
  <c r="K33" i="12"/>
  <c r="L33" i="12"/>
  <c r="M33" i="12"/>
  <c r="K34" i="12"/>
  <c r="L34" i="12"/>
  <c r="M34" i="12"/>
  <c r="K35" i="12"/>
  <c r="L35" i="12"/>
  <c r="M35" i="12"/>
  <c r="K36" i="12"/>
  <c r="L36" i="12"/>
  <c r="M36" i="12"/>
  <c r="K37" i="12"/>
  <c r="L37" i="12"/>
  <c r="M37" i="12"/>
  <c r="K38" i="12"/>
  <c r="L38" i="12"/>
  <c r="M38" i="12"/>
  <c r="K39" i="12"/>
  <c r="L39" i="12"/>
  <c r="M39" i="12"/>
  <c r="K40" i="12"/>
  <c r="L40" i="12"/>
  <c r="M40" i="12"/>
  <c r="K41" i="12"/>
  <c r="L41" i="12"/>
  <c r="M41" i="12"/>
  <c r="K42" i="12"/>
  <c r="L42" i="12"/>
  <c r="M42" i="12"/>
  <c r="K43" i="12"/>
  <c r="L43" i="12"/>
  <c r="M43" i="12"/>
  <c r="K44" i="12"/>
  <c r="L44" i="12"/>
  <c r="M44" i="12"/>
  <c r="K45" i="12"/>
  <c r="L45" i="12"/>
  <c r="M45" i="12"/>
  <c r="K46" i="12"/>
  <c r="L46" i="12"/>
  <c r="M46" i="12"/>
  <c r="K47" i="12"/>
  <c r="L47" i="12"/>
  <c r="M47" i="12"/>
  <c r="K48" i="12"/>
  <c r="L48" i="12"/>
  <c r="M48" i="12"/>
  <c r="K49" i="12"/>
  <c r="L49" i="12"/>
  <c r="M49" i="12"/>
  <c r="K50" i="12"/>
  <c r="L50" i="12"/>
  <c r="M50" i="12"/>
  <c r="K51" i="12"/>
  <c r="L51" i="12"/>
  <c r="M51" i="12"/>
  <c r="K52" i="12"/>
  <c r="L52" i="12"/>
  <c r="M52" i="12"/>
  <c r="K53" i="12"/>
  <c r="L53" i="12"/>
  <c r="M53" i="12"/>
  <c r="K54" i="12"/>
  <c r="L54" i="12"/>
  <c r="M54" i="12"/>
  <c r="K55" i="12"/>
  <c r="L55" i="12"/>
  <c r="M55" i="12"/>
  <c r="K56" i="12"/>
  <c r="L56" i="12"/>
  <c r="M56" i="12"/>
  <c r="K57" i="12"/>
  <c r="L57" i="12"/>
  <c r="M57" i="12"/>
  <c r="K58" i="12"/>
  <c r="L58" i="12"/>
  <c r="M58" i="12"/>
  <c r="K59" i="12"/>
  <c r="L59" i="12"/>
  <c r="M59" i="12"/>
  <c r="K60" i="12"/>
  <c r="L60" i="12"/>
  <c r="M60" i="12"/>
  <c r="K61" i="12"/>
  <c r="L61" i="12"/>
  <c r="M61" i="12"/>
  <c r="K62" i="12"/>
  <c r="L62" i="12"/>
  <c r="M62" i="12"/>
  <c r="K63" i="12"/>
  <c r="L63" i="12"/>
  <c r="M63" i="12"/>
  <c r="K64" i="12"/>
  <c r="L64" i="12"/>
  <c r="M64" i="12"/>
  <c r="K65" i="12"/>
  <c r="L65" i="12"/>
  <c r="M65" i="12"/>
  <c r="K66" i="12"/>
  <c r="L66" i="12"/>
  <c r="M66" i="12"/>
  <c r="K67" i="12"/>
  <c r="L67" i="12"/>
  <c r="M67" i="12"/>
  <c r="K68" i="12"/>
  <c r="L68" i="12"/>
  <c r="M68" i="12"/>
  <c r="K69" i="12"/>
  <c r="L69" i="12"/>
  <c r="M69" i="12"/>
  <c r="K70" i="12"/>
  <c r="L70" i="12"/>
  <c r="M70" i="12"/>
  <c r="K46" i="13"/>
  <c r="L46" i="13"/>
  <c r="M46" i="13"/>
  <c r="K47" i="13"/>
  <c r="L47" i="13"/>
  <c r="M47" i="13"/>
  <c r="K48" i="13"/>
  <c r="L48" i="13"/>
  <c r="M48" i="13"/>
  <c r="K49" i="13"/>
  <c r="L49" i="13"/>
  <c r="M49" i="13"/>
  <c r="K50" i="13"/>
  <c r="L50" i="13"/>
  <c r="M50" i="13"/>
  <c r="K51" i="13"/>
  <c r="L51" i="13"/>
  <c r="M51" i="13"/>
  <c r="K52" i="13"/>
  <c r="L52" i="13"/>
  <c r="M52" i="13"/>
  <c r="K53" i="13"/>
  <c r="L53" i="13"/>
  <c r="M53" i="13"/>
  <c r="K54" i="13"/>
  <c r="L54" i="13"/>
  <c r="M54" i="13"/>
  <c r="K55" i="13"/>
  <c r="L55" i="13"/>
  <c r="M55" i="13"/>
  <c r="K56" i="13"/>
  <c r="L56" i="13"/>
  <c r="M56" i="13"/>
  <c r="K57" i="13"/>
  <c r="L57" i="13"/>
  <c r="M57" i="13"/>
  <c r="K58" i="13"/>
  <c r="L58" i="13"/>
  <c r="M58" i="13"/>
  <c r="K59" i="13"/>
  <c r="L59" i="13"/>
  <c r="M59" i="13"/>
  <c r="K60" i="13"/>
  <c r="L60" i="13"/>
  <c r="M60" i="13"/>
  <c r="K61" i="13"/>
  <c r="L61" i="13"/>
  <c r="M61" i="13"/>
  <c r="K62" i="13"/>
  <c r="L62" i="13"/>
  <c r="M62" i="13"/>
  <c r="K63" i="13"/>
  <c r="L63" i="13"/>
  <c r="M63" i="13"/>
  <c r="K64" i="13"/>
  <c r="L64" i="13"/>
  <c r="M64" i="13"/>
  <c r="K65" i="13"/>
  <c r="L65" i="13"/>
  <c r="M65" i="13"/>
  <c r="K66" i="13"/>
  <c r="L66" i="13"/>
  <c r="M66" i="13"/>
  <c r="K67" i="13"/>
  <c r="L67" i="13"/>
  <c r="M67" i="13"/>
  <c r="K68" i="13"/>
  <c r="L68" i="13"/>
  <c r="M68" i="13"/>
  <c r="K69" i="13"/>
  <c r="L69" i="13"/>
  <c r="M69" i="13"/>
  <c r="K70" i="13"/>
  <c r="L70" i="13"/>
  <c r="M70" i="13"/>
  <c r="K71" i="13"/>
  <c r="L71" i="13"/>
  <c r="M71" i="13"/>
  <c r="K72" i="13"/>
  <c r="L72" i="13"/>
  <c r="M72" i="13"/>
  <c r="K73" i="13"/>
  <c r="L73" i="13"/>
  <c r="M73" i="13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S55" i="1"/>
  <c r="S54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T54" i="1"/>
  <c r="R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O45" i="14" l="1"/>
  <c r="O45" i="12"/>
  <c r="O45" i="8"/>
  <c r="O45" i="2"/>
  <c r="O45" i="5"/>
  <c r="O45" i="10"/>
  <c r="O45" i="15"/>
  <c r="O45" i="11"/>
  <c r="O45" i="13"/>
  <c r="O45" i="6"/>
  <c r="O44" i="12"/>
  <c r="O44" i="15"/>
  <c r="O44" i="10"/>
  <c r="O44" i="13"/>
  <c r="O44" i="2"/>
  <c r="O44" i="11"/>
  <c r="O44" i="5"/>
  <c r="O44" i="8"/>
  <c r="O44" i="6"/>
  <c r="O44" i="14"/>
  <c r="O43" i="2"/>
  <c r="O43" i="8"/>
  <c r="O43" i="12"/>
  <c r="O43" i="15"/>
  <c r="O43" i="13"/>
  <c r="O43" i="5"/>
  <c r="O43" i="10"/>
  <c r="O43" i="11"/>
  <c r="O43" i="6"/>
  <c r="O43" i="14"/>
  <c r="O42" i="13"/>
  <c r="O42" i="2"/>
  <c r="O42" i="11"/>
  <c r="O42" i="14"/>
  <c r="O42" i="10"/>
  <c r="O42" i="15"/>
  <c r="O42" i="12"/>
  <c r="O42" i="5"/>
  <c r="O42" i="8"/>
  <c r="O42" i="6"/>
  <c r="O41" i="8"/>
  <c r="O41" i="6"/>
  <c r="O41" i="10"/>
  <c r="O41" i="2"/>
  <c r="O41" i="14"/>
  <c r="O41" i="5"/>
  <c r="O41" i="13"/>
  <c r="O41" i="15"/>
  <c r="O41" i="11"/>
  <c r="O41" i="12"/>
  <c r="O40" i="5"/>
  <c r="O40" i="15"/>
  <c r="O40" i="10"/>
  <c r="O40" i="14"/>
  <c r="O40" i="2"/>
  <c r="O40" i="11"/>
  <c r="O40" i="12"/>
  <c r="O40" i="6"/>
  <c r="O40" i="8"/>
  <c r="O40" i="13"/>
  <c r="O39" i="12"/>
  <c r="O39" i="5"/>
  <c r="O39" i="8"/>
  <c r="O39" i="2"/>
  <c r="O39" i="11"/>
  <c r="O39" i="13"/>
  <c r="O39" i="14"/>
  <c r="O39" i="10"/>
  <c r="O39" i="6"/>
  <c r="O39" i="15"/>
  <c r="O38" i="14"/>
  <c r="O38" i="6"/>
  <c r="O38" i="5"/>
  <c r="O38" i="15"/>
  <c r="O38" i="11"/>
  <c r="O38" i="2"/>
  <c r="O38" i="13"/>
  <c r="O38" i="10"/>
  <c r="O38" i="12"/>
  <c r="O38" i="8"/>
  <c r="O37" i="2"/>
  <c r="O37" i="5"/>
  <c r="O37" i="6"/>
  <c r="O37" i="14"/>
  <c r="O37" i="8"/>
  <c r="O37" i="12"/>
  <c r="O37" i="10"/>
  <c r="O37" i="13"/>
  <c r="O37" i="11"/>
  <c r="O37" i="15"/>
  <c r="O36" i="12"/>
  <c r="O36" i="10"/>
  <c r="O36" i="13"/>
  <c r="O36" i="2"/>
  <c r="O36" i="11"/>
  <c r="O36" i="5"/>
  <c r="O36" i="15"/>
  <c r="O36" i="8"/>
  <c r="O36" i="6"/>
  <c r="O36" i="14"/>
  <c r="O35" i="15"/>
  <c r="O35" i="14"/>
  <c r="O35" i="12"/>
  <c r="O35" i="2"/>
  <c r="O35" i="8"/>
  <c r="O35" i="11"/>
  <c r="O35" i="5"/>
  <c r="O35" i="6"/>
  <c r="O35" i="10"/>
  <c r="O35" i="13"/>
  <c r="O34" i="13"/>
  <c r="O34" i="15"/>
  <c r="O34" i="6"/>
  <c r="O34" i="10"/>
  <c r="O34" i="5"/>
  <c r="O34" i="12"/>
  <c r="O34" i="2"/>
  <c r="O34" i="11"/>
  <c r="O34" i="8"/>
  <c r="O34" i="14"/>
  <c r="O33" i="10"/>
  <c r="O33" i="8"/>
  <c r="O33" i="6"/>
  <c r="O33" i="2"/>
  <c r="O33" i="11"/>
  <c r="O33" i="13"/>
  <c r="O33" i="15"/>
  <c r="O33" i="12"/>
  <c r="O33" i="5"/>
  <c r="O33" i="14"/>
  <c r="O32" i="5"/>
  <c r="O32" i="10"/>
  <c r="O32" i="14"/>
  <c r="O32" i="2"/>
  <c r="O32" i="11"/>
  <c r="O32" i="12"/>
  <c r="O32" i="6"/>
  <c r="O32" i="15"/>
  <c r="O32" i="13"/>
  <c r="O32" i="8"/>
  <c r="O31" i="14"/>
  <c r="O31" i="5"/>
  <c r="O31" i="12"/>
  <c r="O31" i="2"/>
  <c r="O31" i="8"/>
  <c r="O31" i="11"/>
  <c r="O31" i="13"/>
  <c r="O31" i="6"/>
  <c r="O31" i="10"/>
  <c r="O31" i="15"/>
  <c r="O30" i="14"/>
  <c r="O30" i="6"/>
  <c r="O30" i="5"/>
  <c r="O30" i="15"/>
  <c r="O30" i="2"/>
  <c r="O30" i="11"/>
  <c r="O30" i="8"/>
  <c r="O30" i="13"/>
  <c r="O30" i="10"/>
  <c r="O30" i="12"/>
  <c r="O29" i="11"/>
  <c r="O29" i="8"/>
  <c r="O29" i="2"/>
  <c r="O29" i="5"/>
  <c r="O29" i="6"/>
  <c r="O29" i="14"/>
  <c r="O29" i="12"/>
  <c r="O29" i="10"/>
  <c r="O29" i="13"/>
  <c r="O29" i="15"/>
  <c r="O28" i="12"/>
  <c r="O28" i="10"/>
  <c r="O28" i="13"/>
  <c r="O28" i="2"/>
  <c r="O28" i="11"/>
  <c r="O28" i="15"/>
  <c r="O28" i="5"/>
  <c r="O28" i="6"/>
  <c r="O28" i="14"/>
  <c r="O28" i="8"/>
  <c r="O27" i="14"/>
  <c r="O27" i="13"/>
  <c r="O27" i="8"/>
  <c r="O27" i="11"/>
  <c r="O27" i="15"/>
  <c r="O27" i="2"/>
  <c r="O27" i="12"/>
  <c r="O27" i="5"/>
  <c r="O27" i="10"/>
  <c r="O27" i="6"/>
  <c r="O26" i="13"/>
  <c r="O26" i="6"/>
  <c r="O26" i="12"/>
  <c r="O26" i="15"/>
  <c r="O26" i="2"/>
  <c r="O26" i="11"/>
  <c r="O26" i="14"/>
  <c r="O26" i="10"/>
  <c r="O26" i="5"/>
  <c r="O26" i="8"/>
  <c r="O25" i="6"/>
  <c r="O25" i="8"/>
  <c r="O25" i="10"/>
  <c r="O25" i="2"/>
  <c r="O25" i="11"/>
  <c r="O25" i="14"/>
  <c r="O25" i="12"/>
  <c r="O25" i="15"/>
  <c r="O25" i="5"/>
  <c r="O25" i="13"/>
  <c r="O24" i="5"/>
  <c r="O24" i="15"/>
  <c r="O24" i="10"/>
  <c r="O24" i="14"/>
  <c r="O24" i="11"/>
  <c r="O24" i="2"/>
  <c r="O24" i="12"/>
  <c r="O24" i="6"/>
  <c r="O24" i="13"/>
  <c r="O24" i="8"/>
  <c r="O23" i="12"/>
  <c r="O23" i="5"/>
  <c r="O23" i="15"/>
  <c r="O23" i="8"/>
  <c r="O23" i="11"/>
  <c r="O23" i="10"/>
  <c r="O23" i="2"/>
  <c r="O23" i="13"/>
  <c r="O23" i="14"/>
  <c r="O23" i="6"/>
  <c r="K3" i="14"/>
  <c r="K2" i="14"/>
  <c r="K44" i="13"/>
  <c r="K42" i="13"/>
  <c r="K40" i="13"/>
  <c r="K38" i="13"/>
  <c r="K37" i="13"/>
  <c r="K36" i="13"/>
  <c r="K29" i="13"/>
  <c r="K25" i="13"/>
  <c r="K22" i="13"/>
  <c r="K21" i="13"/>
  <c r="K20" i="13"/>
  <c r="K17" i="13"/>
  <c r="K16" i="13"/>
  <c r="K14" i="13"/>
  <c r="K13" i="13"/>
  <c r="K10" i="13"/>
  <c r="K9" i="13"/>
  <c r="K8" i="13"/>
  <c r="K6" i="13"/>
  <c r="K4" i="13"/>
  <c r="K2" i="13"/>
  <c r="K3" i="12"/>
  <c r="K2" i="12"/>
  <c r="K2" i="11"/>
  <c r="K3" i="10"/>
  <c r="K3" i="15"/>
  <c r="K2" i="15"/>
  <c r="AG65" i="1"/>
  <c r="AG64" i="1"/>
  <c r="AG63" i="1"/>
  <c r="AG62" i="1"/>
  <c r="AG61" i="1"/>
  <c r="AG60" i="1"/>
  <c r="AG59" i="1"/>
  <c r="AG58" i="1"/>
  <c r="M3" i="15"/>
  <c r="L3" i="15"/>
  <c r="M2" i="15"/>
  <c r="L2" i="15"/>
  <c r="AB60" i="1"/>
  <c r="AB61" i="1"/>
  <c r="AB62" i="1"/>
  <c r="AB63" i="1"/>
  <c r="AB64" i="1"/>
  <c r="AB65" i="1"/>
  <c r="AM65" i="1"/>
  <c r="AM64" i="1"/>
  <c r="AM63" i="1"/>
  <c r="AM62" i="1"/>
  <c r="AM61" i="1"/>
  <c r="AM60" i="1"/>
  <c r="M3" i="14"/>
  <c r="L3" i="14"/>
  <c r="M2" i="14"/>
  <c r="L2" i="14"/>
  <c r="AL65" i="1"/>
  <c r="AL64" i="1"/>
  <c r="AL63" i="1"/>
  <c r="AL62" i="1"/>
  <c r="AL61" i="1"/>
  <c r="AL60" i="1"/>
  <c r="M45" i="13"/>
  <c r="L45" i="13"/>
  <c r="K45" i="13"/>
  <c r="M44" i="13"/>
  <c r="L44" i="13"/>
  <c r="M43" i="13"/>
  <c r="L43" i="13"/>
  <c r="K43" i="13"/>
  <c r="M42" i="13"/>
  <c r="L42" i="13"/>
  <c r="M41" i="13"/>
  <c r="L41" i="13"/>
  <c r="K41" i="13"/>
  <c r="M40" i="13"/>
  <c r="L40" i="13"/>
  <c r="M39" i="13"/>
  <c r="L39" i="13"/>
  <c r="K39" i="13"/>
  <c r="M38" i="13"/>
  <c r="L38" i="13"/>
  <c r="M37" i="13"/>
  <c r="L37" i="13"/>
  <c r="M36" i="13"/>
  <c r="L36" i="13"/>
  <c r="M35" i="13"/>
  <c r="L35" i="13"/>
  <c r="K35" i="13"/>
  <c r="M34" i="13"/>
  <c r="L34" i="13"/>
  <c r="K34" i="13"/>
  <c r="M33" i="13"/>
  <c r="L33" i="13"/>
  <c r="K33" i="13"/>
  <c r="M32" i="13"/>
  <c r="L32" i="13"/>
  <c r="K32" i="13"/>
  <c r="M31" i="13"/>
  <c r="L31" i="13"/>
  <c r="K31" i="13"/>
  <c r="M30" i="13"/>
  <c r="L30" i="13"/>
  <c r="K30" i="13"/>
  <c r="M29" i="13"/>
  <c r="L29" i="13"/>
  <c r="M28" i="13"/>
  <c r="L28" i="13"/>
  <c r="K28" i="13"/>
  <c r="M27" i="13"/>
  <c r="L27" i="13"/>
  <c r="K27" i="13"/>
  <c r="M26" i="13"/>
  <c r="L26" i="13"/>
  <c r="K26" i="13"/>
  <c r="M25" i="13"/>
  <c r="L25" i="13"/>
  <c r="M24" i="13"/>
  <c r="L24" i="13"/>
  <c r="K24" i="13"/>
  <c r="M23" i="13"/>
  <c r="L23" i="13"/>
  <c r="K23" i="13"/>
  <c r="M22" i="13"/>
  <c r="L22" i="13"/>
  <c r="M21" i="13"/>
  <c r="L21" i="13"/>
  <c r="M20" i="13"/>
  <c r="L20" i="13"/>
  <c r="M19" i="13"/>
  <c r="L19" i="13"/>
  <c r="K19" i="13"/>
  <c r="M18" i="13"/>
  <c r="L18" i="13"/>
  <c r="K18" i="13"/>
  <c r="M17" i="13"/>
  <c r="L17" i="13"/>
  <c r="M16" i="13"/>
  <c r="L16" i="13"/>
  <c r="M15" i="13"/>
  <c r="L15" i="13"/>
  <c r="K15" i="13"/>
  <c r="M14" i="13"/>
  <c r="L14" i="13"/>
  <c r="M13" i="13"/>
  <c r="L13" i="13"/>
  <c r="M12" i="13"/>
  <c r="L12" i="13"/>
  <c r="K12" i="13"/>
  <c r="M11" i="13"/>
  <c r="L11" i="13"/>
  <c r="K11" i="13"/>
  <c r="M10" i="13"/>
  <c r="L10" i="13"/>
  <c r="M9" i="13"/>
  <c r="L9" i="13"/>
  <c r="M8" i="13"/>
  <c r="L8" i="13"/>
  <c r="M7" i="13"/>
  <c r="L7" i="13"/>
  <c r="K7" i="13"/>
  <c r="M6" i="13"/>
  <c r="L6" i="13"/>
  <c r="M5" i="13"/>
  <c r="L5" i="13"/>
  <c r="K5" i="13"/>
  <c r="M4" i="13"/>
  <c r="L4" i="13"/>
  <c r="M3" i="13"/>
  <c r="L3" i="13"/>
  <c r="K3" i="13"/>
  <c r="M2" i="13"/>
  <c r="L2" i="13"/>
  <c r="AK65" i="1"/>
  <c r="AK64" i="1"/>
  <c r="AK63" i="1"/>
  <c r="AK62" i="1"/>
  <c r="AK61" i="1"/>
  <c r="AK60" i="1"/>
  <c r="M3" i="12"/>
  <c r="L3" i="12"/>
  <c r="M2" i="12"/>
  <c r="L2" i="12"/>
  <c r="AJ65" i="1"/>
  <c r="AJ64" i="1"/>
  <c r="AJ63" i="1"/>
  <c r="AJ62" i="1"/>
  <c r="AJ61" i="1"/>
  <c r="AJ60" i="1"/>
  <c r="M3" i="11"/>
  <c r="L3" i="11"/>
  <c r="K3" i="11"/>
  <c r="M2" i="11"/>
  <c r="L2" i="11"/>
  <c r="AI65" i="1"/>
  <c r="AI64" i="1"/>
  <c r="AI63" i="1"/>
  <c r="AI62" i="1"/>
  <c r="AI61" i="1"/>
  <c r="AI60" i="1"/>
  <c r="M3" i="10"/>
  <c r="L3" i="10"/>
  <c r="M2" i="10"/>
  <c r="L2" i="10"/>
  <c r="K2" i="10"/>
  <c r="AD62" i="1"/>
  <c r="AD63" i="1"/>
  <c r="AD64" i="1"/>
  <c r="AD65" i="1"/>
  <c r="AC62" i="1" l="1"/>
  <c r="AC63" i="1"/>
  <c r="AC64" i="1"/>
  <c r="AC65" i="1"/>
  <c r="AG51" i="1" l="1"/>
  <c r="AL48" i="1"/>
  <c r="AJ53" i="1"/>
  <c r="AG52" i="1"/>
  <c r="AG50" i="1"/>
  <c r="AG56" i="1"/>
  <c r="AL57" i="1"/>
  <c r="AI56" i="1"/>
  <c r="AG55" i="1"/>
  <c r="AK57" i="1"/>
  <c r="AG57" i="1"/>
  <c r="AJ55" i="1"/>
  <c r="AL54" i="1"/>
  <c r="AG54" i="1"/>
  <c r="AM54" i="1"/>
  <c r="AM53" i="1"/>
  <c r="AG53" i="1"/>
  <c r="AI53" i="1"/>
  <c r="AI52" i="1"/>
  <c r="AL52" i="1"/>
  <c r="AK51" i="1"/>
  <c r="AI51" i="1"/>
  <c r="AK48" i="1"/>
  <c r="AG46" i="1"/>
  <c r="AG47" i="1"/>
  <c r="AG48" i="1"/>
  <c r="AM49" i="1"/>
  <c r="AK49" i="1"/>
  <c r="AG49" i="1"/>
  <c r="AJ46" i="1"/>
  <c r="AI50" i="1"/>
  <c r="AL50" i="1"/>
  <c r="AM50" i="1"/>
  <c r="AI59" i="1"/>
  <c r="AK59" i="1"/>
  <c r="AJ59" i="1"/>
  <c r="AM59" i="1"/>
  <c r="AL59" i="1"/>
  <c r="AJ52" i="1"/>
  <c r="AL51" i="1"/>
  <c r="AM51" i="1"/>
  <c r="AJ51" i="1"/>
  <c r="AI47" i="1"/>
  <c r="AJ47" i="1"/>
  <c r="AK47" i="1"/>
  <c r="AJ49" i="1"/>
  <c r="AI49" i="1"/>
  <c r="AJ56" i="1"/>
  <c r="AL47" i="1"/>
  <c r="AM56" i="1"/>
  <c r="AL58" i="1"/>
  <c r="AI58" i="1"/>
  <c r="AK58" i="1"/>
  <c r="AJ58" i="1"/>
  <c r="AK54" i="1"/>
  <c r="AJ54" i="1"/>
  <c r="AI54" i="1"/>
  <c r="AI46" i="1"/>
  <c r="AM46" i="1"/>
  <c r="AL46" i="1"/>
  <c r="AK46" i="1"/>
  <c r="AM55" i="1"/>
  <c r="AI55" i="1"/>
  <c r="AL55" i="1"/>
  <c r="AM48" i="1"/>
  <c r="AL56" i="1"/>
  <c r="AK52" i="1"/>
  <c r="AJ48" i="1"/>
  <c r="AK55" i="1"/>
  <c r="AM58" i="1"/>
  <c r="AJ50" i="1"/>
  <c r="AM47" i="1"/>
  <c r="AK50" i="1"/>
  <c r="AM52" i="1"/>
  <c r="AM57" i="1"/>
  <c r="AI48" i="1"/>
  <c r="AL53" i="1"/>
  <c r="AK56" i="1"/>
  <c r="AK53" i="1"/>
  <c r="AJ57" i="1"/>
  <c r="AL49" i="1"/>
  <c r="AI57" i="1"/>
  <c r="AD61" i="1"/>
  <c r="AD60" i="1"/>
  <c r="AC58" i="1"/>
  <c r="AC57" i="1"/>
  <c r="AC56" i="1"/>
  <c r="AC61" i="1"/>
  <c r="AC60" i="1"/>
  <c r="AC59" i="1"/>
  <c r="AC54" i="1"/>
  <c r="AC55" i="1"/>
  <c r="AC53" i="1"/>
  <c r="AC52" i="1"/>
  <c r="AC51" i="1"/>
  <c r="AC50" i="1"/>
  <c r="AC49" i="1"/>
  <c r="AC48" i="1"/>
  <c r="R5" i="1" l="1"/>
  <c r="R6" i="1"/>
  <c r="R7" i="1"/>
  <c r="AH60" i="1" l="1"/>
  <c r="AH61" i="1"/>
  <c r="AH62" i="1"/>
  <c r="AH63" i="1"/>
  <c r="AH64" i="1"/>
  <c r="AH65" i="1"/>
  <c r="AH56" i="1"/>
  <c r="AH59" i="1"/>
  <c r="AF60" i="1"/>
  <c r="AF61" i="1"/>
  <c r="AF62" i="1"/>
  <c r="AF63" i="1"/>
  <c r="AF64" i="1"/>
  <c r="AF65" i="1"/>
  <c r="AF59" i="1"/>
  <c r="AE60" i="1"/>
  <c r="AE61" i="1"/>
  <c r="AE62" i="1"/>
  <c r="AE63" i="1"/>
  <c r="AE64" i="1"/>
  <c r="AE65" i="1"/>
  <c r="AE58" i="1"/>
  <c r="AE59" i="1"/>
  <c r="AA60" i="1"/>
  <c r="AA61" i="1"/>
  <c r="AA62" i="1"/>
  <c r="AA63" i="1"/>
  <c r="AA64" i="1"/>
  <c r="AA65" i="1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AH48" i="1" l="1"/>
  <c r="AB59" i="1"/>
  <c r="AB55" i="1"/>
  <c r="AA59" i="1"/>
  <c r="AB56" i="1"/>
  <c r="AB54" i="1"/>
  <c r="AB52" i="1"/>
  <c r="AE55" i="1"/>
  <c r="AF58" i="1"/>
  <c r="AF54" i="1"/>
  <c r="AA58" i="1"/>
  <c r="AA56" i="1"/>
  <c r="AA54" i="1"/>
  <c r="AD59" i="1"/>
  <c r="AE56" i="1"/>
  <c r="AE54" i="1"/>
  <c r="AE52" i="1"/>
  <c r="AF55" i="1"/>
  <c r="AH58" i="1"/>
  <c r="AH54" i="1"/>
  <c r="AA55" i="1"/>
  <c r="AB58" i="1"/>
  <c r="AD56" i="1"/>
  <c r="AE57" i="1"/>
  <c r="AH55" i="1"/>
  <c r="AH57" i="1"/>
  <c r="AF57" i="1"/>
  <c r="AF56" i="1"/>
  <c r="AD58" i="1"/>
  <c r="AB57" i="1"/>
  <c r="AA57" i="1"/>
  <c r="AE53" i="1"/>
  <c r="AF51" i="1"/>
  <c r="AH53" i="1"/>
  <c r="AB53" i="1"/>
  <c r="AD57" i="1"/>
  <c r="AD53" i="1"/>
  <c r="AA52" i="1"/>
  <c r="AA48" i="1"/>
  <c r="AD54" i="1"/>
  <c r="AE50" i="1"/>
  <c r="AE48" i="1"/>
  <c r="AF52" i="1"/>
  <c r="AD52" i="1"/>
  <c r="AA51" i="1"/>
  <c r="AA53" i="1"/>
  <c r="AB51" i="1"/>
  <c r="AD55" i="1"/>
  <c r="AD51" i="1"/>
  <c r="AE51" i="1"/>
  <c r="AF53" i="1"/>
  <c r="AF49" i="1"/>
  <c r="AH51" i="1"/>
  <c r="AH52" i="1"/>
  <c r="AF50" i="1"/>
  <c r="AH49" i="1"/>
  <c r="AA50" i="1"/>
  <c r="AB49" i="1"/>
  <c r="AH50" i="1"/>
  <c r="AA49" i="1"/>
  <c r="AB48" i="1"/>
  <c r="AD50" i="1"/>
  <c r="AB50" i="1"/>
  <c r="AE49" i="1"/>
  <c r="AF48" i="1"/>
  <c r="AC47" i="1"/>
  <c r="L2" i="5"/>
  <c r="AH47" i="1" l="1"/>
  <c r="M4" i="8"/>
  <c r="L4" i="8"/>
  <c r="K4" i="8"/>
  <c r="M3" i="8"/>
  <c r="L3" i="8"/>
  <c r="K3" i="8"/>
  <c r="M2" i="8"/>
  <c r="L2" i="8"/>
  <c r="K2" i="8"/>
  <c r="M3" i="6"/>
  <c r="L3" i="6"/>
  <c r="K3" i="6"/>
  <c r="M2" i="6"/>
  <c r="L2" i="6"/>
  <c r="K2" i="6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3" i="5"/>
  <c r="L3" i="5"/>
  <c r="K3" i="5"/>
  <c r="M2" i="5"/>
  <c r="K2" i="5"/>
  <c r="R3" i="1"/>
  <c r="S3" i="1"/>
  <c r="T3" i="1"/>
  <c r="R4" i="1"/>
  <c r="S4" i="1"/>
  <c r="T4" i="1"/>
  <c r="S5" i="1"/>
  <c r="T5" i="1"/>
  <c r="S6" i="1"/>
  <c r="T6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T2" i="1"/>
  <c r="S2" i="1"/>
  <c r="R2" i="1"/>
  <c r="O22" i="14" l="1"/>
  <c r="O22" i="6"/>
  <c r="O22" i="5"/>
  <c r="O22" i="2"/>
  <c r="O22" i="11"/>
  <c r="AJ22" i="1" s="1"/>
  <c r="O22" i="15"/>
  <c r="AG22" i="1" s="1"/>
  <c r="O22" i="13"/>
  <c r="AL22" i="1" s="1"/>
  <c r="O22" i="10"/>
  <c r="AI22" i="1" s="1"/>
  <c r="O22" i="12"/>
  <c r="AK22" i="1" s="1"/>
  <c r="O22" i="8"/>
  <c r="AH22" i="1" s="1"/>
  <c r="AM21" i="1"/>
  <c r="AK21" i="1"/>
  <c r="AI21" i="1"/>
  <c r="AG20" i="1"/>
  <c r="AI20" i="1"/>
  <c r="AJ20" i="1"/>
  <c r="AJ19" i="1"/>
  <c r="AK19" i="1"/>
  <c r="AE19" i="1"/>
  <c r="AH19" i="1"/>
  <c r="AK18" i="1"/>
  <c r="AG18" i="1"/>
  <c r="AI18" i="1"/>
  <c r="AH18" i="1"/>
  <c r="AM17" i="1"/>
  <c r="AJ17" i="1"/>
  <c r="AG17" i="1"/>
  <c r="AI17" i="1"/>
  <c r="AD17" i="1"/>
  <c r="AH16" i="1"/>
  <c r="AI16" i="1"/>
  <c r="AK16" i="1"/>
  <c r="AJ16" i="1"/>
  <c r="AE16" i="1"/>
  <c r="AM16" i="1"/>
  <c r="AG15" i="1"/>
  <c r="AE15" i="1"/>
  <c r="AM15" i="1"/>
  <c r="AM14" i="1"/>
  <c r="AK14" i="1"/>
  <c r="AJ14" i="1"/>
  <c r="AE14" i="1"/>
  <c r="AI14" i="1"/>
  <c r="AD14" i="1"/>
  <c r="AG14" i="1"/>
  <c r="AG13" i="1"/>
  <c r="AD13" i="1"/>
  <c r="AI13" i="1"/>
  <c r="AM13" i="1"/>
  <c r="AK13" i="1"/>
  <c r="AJ13" i="1"/>
  <c r="AD12" i="1"/>
  <c r="AI12" i="1"/>
  <c r="AJ12" i="1"/>
  <c r="AK12" i="1"/>
  <c r="AM12" i="1"/>
  <c r="AG12" i="1"/>
  <c r="AE11" i="1"/>
  <c r="AM11" i="1"/>
  <c r="AI11" i="1"/>
  <c r="AG11" i="1"/>
  <c r="AJ11" i="1"/>
  <c r="AD11" i="1"/>
  <c r="AK11" i="1"/>
  <c r="AH11" i="1"/>
  <c r="AM10" i="1"/>
  <c r="AE10" i="1"/>
  <c r="AG10" i="1"/>
  <c r="AJ10" i="1"/>
  <c r="AI10" i="1"/>
  <c r="AH10" i="1"/>
  <c r="AI9" i="1"/>
  <c r="AE9" i="1"/>
  <c r="AJ9" i="1"/>
  <c r="AK9" i="1"/>
  <c r="AD8" i="1"/>
  <c r="AJ8" i="1"/>
  <c r="AK8" i="1"/>
  <c r="AM8" i="1"/>
  <c r="AJ7" i="1"/>
  <c r="AD7" i="1"/>
  <c r="AK7" i="1"/>
  <c r="AG7" i="1"/>
  <c r="AH7" i="1"/>
  <c r="AM7" i="1"/>
  <c r="AE7" i="1"/>
  <c r="AI7" i="1"/>
  <c r="AK6" i="1"/>
  <c r="AH6" i="1"/>
  <c r="AJ6" i="1"/>
  <c r="AD6" i="1"/>
  <c r="AG6" i="1"/>
  <c r="AE6" i="1"/>
  <c r="AM6" i="1"/>
  <c r="AE5" i="1"/>
  <c r="AJ5" i="1"/>
  <c r="AI5" i="1"/>
  <c r="AD5" i="1"/>
  <c r="AG5" i="1"/>
  <c r="AH5" i="1"/>
  <c r="AM5" i="1"/>
  <c r="AK5" i="1"/>
  <c r="AD4" i="1"/>
  <c r="AI4" i="1"/>
  <c r="AJ4" i="1"/>
  <c r="AG4" i="1"/>
  <c r="AM4" i="1"/>
  <c r="AK4" i="1"/>
  <c r="AG45" i="1"/>
  <c r="AG44" i="1"/>
  <c r="AG43" i="1"/>
  <c r="AG42" i="1"/>
  <c r="AG38" i="1"/>
  <c r="AG40" i="1"/>
  <c r="AG41" i="1"/>
  <c r="AG39" i="1"/>
  <c r="AG35" i="1"/>
  <c r="AG37" i="1"/>
  <c r="AG36" i="1"/>
  <c r="AG34" i="1"/>
  <c r="AG31" i="1"/>
  <c r="AG33" i="1"/>
  <c r="AG32" i="1"/>
  <c r="AG30" i="1"/>
  <c r="AG27" i="1"/>
  <c r="AG28" i="1"/>
  <c r="AG29" i="1"/>
  <c r="AG26" i="1"/>
  <c r="AG25" i="1"/>
  <c r="AG24" i="1"/>
  <c r="AG16" i="1"/>
  <c r="AG9" i="1"/>
  <c r="AG21" i="1"/>
  <c r="AG19" i="1"/>
  <c r="AG8" i="1"/>
  <c r="AG3" i="1"/>
  <c r="O2" i="15"/>
  <c r="AG2" i="1" s="1"/>
  <c r="AG23" i="1"/>
  <c r="AI42" i="1"/>
  <c r="AL42" i="1"/>
  <c r="AK42" i="1"/>
  <c r="AJ42" i="1"/>
  <c r="AM42" i="1"/>
  <c r="AM30" i="1"/>
  <c r="AI30" i="1"/>
  <c r="AK30" i="1"/>
  <c r="AL30" i="1"/>
  <c r="AJ30" i="1"/>
  <c r="AM22" i="1"/>
  <c r="AM18" i="1"/>
  <c r="AJ18" i="1"/>
  <c r="AL18" i="1"/>
  <c r="AL10" i="1"/>
  <c r="AK10" i="1"/>
  <c r="AL7" i="1"/>
  <c r="AJ43" i="1"/>
  <c r="AK43" i="1"/>
  <c r="AI43" i="1"/>
  <c r="AL43" i="1"/>
  <c r="AM43" i="1"/>
  <c r="AL35" i="1"/>
  <c r="AI35" i="1"/>
  <c r="AJ35" i="1"/>
  <c r="AM35" i="1"/>
  <c r="AK35" i="1"/>
  <c r="AI27" i="1"/>
  <c r="AK27" i="1"/>
  <c r="AL27" i="1"/>
  <c r="AM27" i="1"/>
  <c r="AJ27" i="1"/>
  <c r="AM23" i="1"/>
  <c r="AI23" i="1"/>
  <c r="AL23" i="1"/>
  <c r="AJ23" i="1"/>
  <c r="AK23" i="1"/>
  <c r="O2" i="12"/>
  <c r="AK2" i="1" s="1"/>
  <c r="O2" i="14"/>
  <c r="AM2" i="1" s="1"/>
  <c r="O2" i="11"/>
  <c r="AJ2" i="1" s="1"/>
  <c r="O2" i="13"/>
  <c r="AL2" i="1" s="1"/>
  <c r="O2" i="10"/>
  <c r="AI2" i="1" s="1"/>
  <c r="AJ44" i="1"/>
  <c r="AI44" i="1"/>
  <c r="AL44" i="1"/>
  <c r="AM44" i="1"/>
  <c r="AK44" i="1"/>
  <c r="AL40" i="1"/>
  <c r="AM40" i="1"/>
  <c r="AK40" i="1"/>
  <c r="AJ40" i="1"/>
  <c r="AI40" i="1"/>
  <c r="AK36" i="1"/>
  <c r="AM36" i="1"/>
  <c r="AJ36" i="1"/>
  <c r="AL36" i="1"/>
  <c r="AI36" i="1"/>
  <c r="AM32" i="1"/>
  <c r="AJ32" i="1"/>
  <c r="AI32" i="1"/>
  <c r="AK32" i="1"/>
  <c r="AL32" i="1"/>
  <c r="AM28" i="1"/>
  <c r="AJ28" i="1"/>
  <c r="AI28" i="1"/>
  <c r="AL28" i="1"/>
  <c r="AK28" i="1"/>
  <c r="AL24" i="1"/>
  <c r="AK24" i="1"/>
  <c r="AM24" i="1"/>
  <c r="AI24" i="1"/>
  <c r="AJ24" i="1"/>
  <c r="AK20" i="1"/>
  <c r="AM20" i="1"/>
  <c r="AL20" i="1"/>
  <c r="AL16" i="1"/>
  <c r="AL12" i="1"/>
  <c r="AL8" i="1"/>
  <c r="AI8" i="1"/>
  <c r="AL6" i="1"/>
  <c r="AI6" i="1"/>
  <c r="AK3" i="1"/>
  <c r="AM3" i="1"/>
  <c r="AJ3" i="1"/>
  <c r="AI3" i="1"/>
  <c r="AL3" i="1"/>
  <c r="AK38" i="1"/>
  <c r="AJ38" i="1"/>
  <c r="AL38" i="1"/>
  <c r="AM38" i="1"/>
  <c r="AI38" i="1"/>
  <c r="AM34" i="1"/>
  <c r="AJ34" i="1"/>
  <c r="AK34" i="1"/>
  <c r="AI34" i="1"/>
  <c r="AL34" i="1"/>
  <c r="AI26" i="1"/>
  <c r="AK26" i="1"/>
  <c r="AL26" i="1"/>
  <c r="AJ26" i="1"/>
  <c r="AM26" i="1"/>
  <c r="AL14" i="1"/>
  <c r="AL5" i="1"/>
  <c r="AJ39" i="1"/>
  <c r="AL39" i="1"/>
  <c r="AM39" i="1"/>
  <c r="AI39" i="1"/>
  <c r="AK39" i="1"/>
  <c r="AJ31" i="1"/>
  <c r="AM31" i="1"/>
  <c r="AK31" i="1"/>
  <c r="AI31" i="1"/>
  <c r="AL31" i="1"/>
  <c r="AL19" i="1"/>
  <c r="AM19" i="1"/>
  <c r="AI19" i="1"/>
  <c r="AI15" i="1"/>
  <c r="AJ15" i="1"/>
  <c r="AK15" i="1"/>
  <c r="AL15" i="1"/>
  <c r="AL11" i="1"/>
  <c r="AI45" i="1"/>
  <c r="AJ45" i="1"/>
  <c r="AL45" i="1"/>
  <c r="AK45" i="1"/>
  <c r="AM45" i="1"/>
  <c r="AI41" i="1"/>
  <c r="AJ41" i="1"/>
  <c r="AM41" i="1"/>
  <c r="AK41" i="1"/>
  <c r="AL41" i="1"/>
  <c r="AM37" i="1"/>
  <c r="AL37" i="1"/>
  <c r="AI37" i="1"/>
  <c r="AJ37" i="1"/>
  <c r="AK37" i="1"/>
  <c r="AL33" i="1"/>
  <c r="AK33" i="1"/>
  <c r="AI33" i="1"/>
  <c r="AJ33" i="1"/>
  <c r="AM33" i="1"/>
  <c r="AI29" i="1"/>
  <c r="AJ29" i="1"/>
  <c r="AK29" i="1"/>
  <c r="AL29" i="1"/>
  <c r="AM29" i="1"/>
  <c r="AK25" i="1"/>
  <c r="AI25" i="1"/>
  <c r="AJ25" i="1"/>
  <c r="AM25" i="1"/>
  <c r="AL25" i="1"/>
  <c r="AL21" i="1"/>
  <c r="AJ21" i="1"/>
  <c r="AL17" i="1"/>
  <c r="AK17" i="1"/>
  <c r="AL13" i="1"/>
  <c r="AL9" i="1"/>
  <c r="AM9" i="1"/>
  <c r="AL4" i="1"/>
  <c r="AA47" i="1"/>
  <c r="AE47" i="1"/>
  <c r="AD47" i="1"/>
  <c r="AD48" i="1"/>
  <c r="AD49" i="1"/>
  <c r="AB47" i="1"/>
  <c r="AF47" i="1"/>
  <c r="AC33" i="1"/>
  <c r="AC46" i="1"/>
  <c r="AH46" i="1"/>
  <c r="AE46" i="1"/>
  <c r="AB46" i="1"/>
  <c r="AD46" i="1"/>
  <c r="AF46" i="1"/>
  <c r="AA46" i="1"/>
  <c r="AC45" i="1"/>
  <c r="AH45" i="1"/>
  <c r="AA45" i="1"/>
  <c r="AB45" i="1"/>
  <c r="AF45" i="1"/>
  <c r="AD45" i="1"/>
  <c r="AE45" i="1"/>
  <c r="AC44" i="1"/>
  <c r="AH44" i="1"/>
  <c r="AF44" i="1"/>
  <c r="AA44" i="1"/>
  <c r="AE44" i="1"/>
  <c r="AD44" i="1"/>
  <c r="AB44" i="1"/>
  <c r="AC43" i="1"/>
  <c r="AH43" i="1"/>
  <c r="AD43" i="1"/>
  <c r="AB43" i="1"/>
  <c r="AA43" i="1"/>
  <c r="AF43" i="1"/>
  <c r="AE43" i="1"/>
  <c r="AC42" i="1"/>
  <c r="AH42" i="1"/>
  <c r="AF42" i="1"/>
  <c r="AE42" i="1"/>
  <c r="AB42" i="1"/>
  <c r="AA42" i="1"/>
  <c r="AD42" i="1"/>
  <c r="AC41" i="1"/>
  <c r="AH41" i="1"/>
  <c r="AA41" i="1"/>
  <c r="AE41" i="1"/>
  <c r="AB41" i="1"/>
  <c r="AD41" i="1"/>
  <c r="AF41" i="1"/>
  <c r="AC40" i="1"/>
  <c r="AH40" i="1"/>
  <c r="AF40" i="1"/>
  <c r="AE40" i="1"/>
  <c r="AD40" i="1"/>
  <c r="AB40" i="1"/>
  <c r="AA40" i="1"/>
  <c r="AC39" i="1"/>
  <c r="AH39" i="1"/>
  <c r="AD39" i="1"/>
  <c r="AB39" i="1"/>
  <c r="AA39" i="1"/>
  <c r="AF39" i="1"/>
  <c r="AE39" i="1"/>
  <c r="AC38" i="1"/>
  <c r="AH38" i="1"/>
  <c r="AE38" i="1"/>
  <c r="AB38" i="1"/>
  <c r="AF38" i="1"/>
  <c r="AA38" i="1"/>
  <c r="AD38" i="1"/>
  <c r="AC37" i="1"/>
  <c r="AH37" i="1"/>
  <c r="AA37" i="1"/>
  <c r="AB37" i="1"/>
  <c r="AE37" i="1"/>
  <c r="AD37" i="1"/>
  <c r="AF37" i="1"/>
  <c r="AC36" i="1"/>
  <c r="AH36" i="1"/>
  <c r="AF36" i="1"/>
  <c r="AB36" i="1"/>
  <c r="AE36" i="1"/>
  <c r="AD36" i="1"/>
  <c r="AA36" i="1"/>
  <c r="AC35" i="1"/>
  <c r="AH35" i="1"/>
  <c r="AD35" i="1"/>
  <c r="AB35" i="1"/>
  <c r="AA35" i="1"/>
  <c r="AF35" i="1"/>
  <c r="AE35" i="1"/>
  <c r="AC34" i="1"/>
  <c r="AH34" i="1"/>
  <c r="AB34" i="1"/>
  <c r="AE34" i="1"/>
  <c r="AD34" i="1"/>
  <c r="AF34" i="1"/>
  <c r="AA34" i="1"/>
  <c r="AH33" i="1"/>
  <c r="AA33" i="1"/>
  <c r="AE33" i="1"/>
  <c r="AB33" i="1"/>
  <c r="AD33" i="1"/>
  <c r="AF33" i="1"/>
  <c r="AH32" i="1"/>
  <c r="AF32" i="1"/>
  <c r="AE32" i="1"/>
  <c r="AD32" i="1"/>
  <c r="AB32" i="1"/>
  <c r="AC32" i="1"/>
  <c r="AA32" i="1"/>
  <c r="AH31" i="1"/>
  <c r="AD31" i="1"/>
  <c r="AB31" i="1"/>
  <c r="AA31" i="1"/>
  <c r="AC31" i="1"/>
  <c r="AE31" i="1"/>
  <c r="AF31" i="1"/>
  <c r="AH30" i="1"/>
  <c r="AD30" i="1"/>
  <c r="AE30" i="1"/>
  <c r="AB30" i="1"/>
  <c r="AF30" i="1"/>
  <c r="AC30" i="1"/>
  <c r="AA30" i="1"/>
  <c r="AH29" i="1"/>
  <c r="AA29" i="1"/>
  <c r="AB29" i="1"/>
  <c r="AF29" i="1"/>
  <c r="AD29" i="1"/>
  <c r="AC29" i="1"/>
  <c r="AE29" i="1"/>
  <c r="AH28" i="1"/>
  <c r="AF28" i="1"/>
  <c r="AB28" i="1"/>
  <c r="AE28" i="1"/>
  <c r="AD28" i="1"/>
  <c r="AC28" i="1"/>
  <c r="AA28" i="1"/>
  <c r="AH27" i="1"/>
  <c r="AD27" i="1"/>
  <c r="AB27" i="1"/>
  <c r="AA27" i="1"/>
  <c r="AF27" i="1"/>
  <c r="AC27" i="1"/>
  <c r="AE27" i="1"/>
  <c r="AH25" i="1"/>
  <c r="AC25" i="1"/>
  <c r="AE25" i="1"/>
  <c r="AB25" i="1"/>
  <c r="AA25" i="1"/>
  <c r="AD25" i="1"/>
  <c r="AF25" i="1"/>
  <c r="AF26" i="1"/>
  <c r="AE26" i="1"/>
  <c r="AH26" i="1"/>
  <c r="AD26" i="1"/>
  <c r="AC26" i="1"/>
  <c r="AB26" i="1"/>
  <c r="AA26" i="1"/>
  <c r="AH24" i="1"/>
  <c r="AF24" i="1"/>
  <c r="AE24" i="1"/>
  <c r="AD24" i="1"/>
  <c r="AC24" i="1"/>
  <c r="AA24" i="1"/>
  <c r="AB24" i="1"/>
  <c r="AH23" i="1"/>
  <c r="AF23" i="1"/>
  <c r="AE23" i="1"/>
  <c r="AD23" i="1"/>
  <c r="AA23" i="1"/>
  <c r="AC23" i="1"/>
  <c r="AB23" i="1"/>
  <c r="AA19" i="1"/>
  <c r="AB19" i="1"/>
  <c r="AD19" i="1"/>
  <c r="AF19" i="1"/>
  <c r="AC19" i="1"/>
  <c r="AF21" i="1"/>
  <c r="AE21" i="1"/>
  <c r="AD21" i="1"/>
  <c r="AC21" i="1"/>
  <c r="AB21" i="1"/>
  <c r="AH21" i="1"/>
  <c r="AA21" i="1"/>
  <c r="AC22" i="1"/>
  <c r="AA22" i="1"/>
  <c r="AE22" i="1"/>
  <c r="AB22" i="1"/>
  <c r="AF22" i="1"/>
  <c r="AD22" i="1"/>
  <c r="AE20" i="1"/>
  <c r="AA20" i="1"/>
  <c r="AC20" i="1"/>
  <c r="AH20" i="1"/>
  <c r="AD20" i="1"/>
  <c r="AB20" i="1"/>
  <c r="AF20" i="1"/>
  <c r="AA18" i="1"/>
  <c r="AE18" i="1"/>
  <c r="AB18" i="1"/>
  <c r="AF18" i="1"/>
  <c r="AC18" i="1"/>
  <c r="AD18" i="1"/>
  <c r="AH17" i="1"/>
  <c r="AA17" i="1"/>
  <c r="AB17" i="1"/>
  <c r="AC17" i="1"/>
  <c r="AF17" i="1"/>
  <c r="AE17" i="1"/>
  <c r="AF16" i="1"/>
  <c r="AD16" i="1"/>
  <c r="AC16" i="1"/>
  <c r="AA16" i="1"/>
  <c r="AB16" i="1"/>
  <c r="AH15" i="1"/>
  <c r="AD15" i="1"/>
  <c r="AB15" i="1"/>
  <c r="AA15" i="1"/>
  <c r="AF15" i="1"/>
  <c r="AC15" i="1"/>
  <c r="AH14" i="1"/>
  <c r="AA14" i="1"/>
  <c r="AB14" i="1"/>
  <c r="AF14" i="1"/>
  <c r="AC14" i="1"/>
  <c r="AH13" i="1"/>
  <c r="AA13" i="1"/>
  <c r="AE13" i="1"/>
  <c r="AC13" i="1"/>
  <c r="AB13" i="1"/>
  <c r="AF13" i="1"/>
  <c r="AH12" i="1"/>
  <c r="AF12" i="1"/>
  <c r="AC12" i="1"/>
  <c r="AA12" i="1"/>
  <c r="AE12" i="1"/>
  <c r="AB12" i="1"/>
  <c r="AC11" i="1"/>
  <c r="AA11" i="1"/>
  <c r="AF11" i="1"/>
  <c r="AB11" i="1"/>
  <c r="AC10" i="1"/>
  <c r="AA10" i="1"/>
  <c r="AF10" i="1"/>
  <c r="AD10" i="1"/>
  <c r="AB10" i="1"/>
  <c r="AH9" i="1"/>
  <c r="AD9" i="1"/>
  <c r="AA9" i="1"/>
  <c r="AF9" i="1"/>
  <c r="AC9" i="1"/>
  <c r="AB9" i="1"/>
  <c r="AF4" i="1"/>
  <c r="AE4" i="1"/>
  <c r="AH4" i="1"/>
  <c r="AC4" i="1"/>
  <c r="AA4" i="1"/>
  <c r="AB4" i="1"/>
  <c r="AA5" i="1"/>
  <c r="AB5" i="1"/>
  <c r="AF5" i="1"/>
  <c r="AC5" i="1"/>
  <c r="O2" i="6"/>
  <c r="AE2" i="1" s="1"/>
  <c r="O2" i="2"/>
  <c r="AC2" i="1"/>
  <c r="AF2" i="1"/>
  <c r="O2" i="5"/>
  <c r="AD2" i="1" s="1"/>
  <c r="O2" i="8"/>
  <c r="AH2" i="1" s="1"/>
  <c r="AB2" i="1"/>
  <c r="AH3" i="1"/>
  <c r="AC3" i="1"/>
  <c r="AB3" i="1"/>
  <c r="AE3" i="1"/>
  <c r="AD3" i="1"/>
  <c r="AA3" i="1"/>
  <c r="AF3" i="1"/>
  <c r="AE8" i="1"/>
  <c r="AB8" i="1"/>
  <c r="AH8" i="1"/>
  <c r="AF8" i="1"/>
  <c r="AC8" i="1"/>
  <c r="AA8" i="1"/>
  <c r="AF7" i="1"/>
  <c r="AA7" i="1"/>
  <c r="AC7" i="1"/>
  <c r="AB7" i="1"/>
  <c r="AC6" i="1"/>
  <c r="AF6" i="1"/>
  <c r="AB6" i="1"/>
  <c r="AA6" i="1"/>
  <c r="M13" i="1" l="1"/>
  <c r="N13" i="1"/>
  <c r="I9" i="15"/>
  <c r="J9" i="15" s="1"/>
  <c r="I11" i="15"/>
  <c r="J11" i="15" s="1"/>
  <c r="I7" i="15"/>
  <c r="J7" i="15" s="1"/>
  <c r="I10" i="15"/>
  <c r="J10" i="15" s="1"/>
  <c r="L13" i="1"/>
  <c r="K13" i="1"/>
  <c r="P13" i="1"/>
  <c r="I8" i="15"/>
  <c r="J8" i="15" s="1"/>
  <c r="O13" i="1"/>
  <c r="N15" i="1"/>
  <c r="O15" i="1"/>
  <c r="M15" i="1"/>
  <c r="P15" i="1"/>
  <c r="L15" i="1"/>
  <c r="K15" i="1"/>
  <c r="N18" i="1"/>
  <c r="O18" i="1"/>
  <c r="M18" i="1"/>
  <c r="K18" i="1"/>
  <c r="P18" i="1"/>
  <c r="L18" i="1"/>
  <c r="N20" i="1"/>
  <c r="K20" i="1"/>
  <c r="M20" i="1"/>
  <c r="P20" i="1"/>
  <c r="L20" i="1"/>
  <c r="O20" i="1"/>
  <c r="P19" i="1"/>
  <c r="L19" i="1"/>
  <c r="O19" i="1"/>
  <c r="K19" i="1"/>
  <c r="M19" i="1"/>
  <c r="N19" i="1"/>
  <c r="N17" i="1"/>
  <c r="O17" i="1"/>
  <c r="M17" i="1"/>
  <c r="P17" i="1"/>
  <c r="L17" i="1"/>
  <c r="K17" i="1"/>
  <c r="P16" i="1"/>
  <c r="L16" i="1"/>
  <c r="O16" i="1"/>
  <c r="K16" i="1"/>
  <c r="N16" i="1"/>
  <c r="M16" i="1"/>
  <c r="P12" i="1"/>
  <c r="L12" i="1"/>
  <c r="O12" i="1"/>
  <c r="K12" i="1"/>
  <c r="N12" i="1"/>
  <c r="M12" i="1"/>
  <c r="K14" i="1"/>
  <c r="AA2" i="1"/>
  <c r="K11" i="1"/>
  <c r="I9" i="14"/>
  <c r="J9" i="14" s="1"/>
  <c r="I11" i="14"/>
  <c r="J11" i="14" s="1"/>
  <c r="I10" i="14"/>
  <c r="J10" i="14" s="1"/>
  <c r="I7" i="14"/>
  <c r="J7" i="14" s="1"/>
  <c r="I8" i="14"/>
  <c r="J8" i="14" s="1"/>
  <c r="I7" i="10"/>
  <c r="J7" i="10" s="1"/>
  <c r="I9" i="10"/>
  <c r="J9" i="10" s="1"/>
  <c r="I11" i="10"/>
  <c r="J11" i="10" s="1"/>
  <c r="I8" i="10"/>
  <c r="J8" i="10" s="1"/>
  <c r="I10" i="10"/>
  <c r="J10" i="10" s="1"/>
  <c r="I10" i="12"/>
  <c r="J10" i="12" s="1"/>
  <c r="I8" i="12"/>
  <c r="J8" i="12" s="1"/>
  <c r="I7" i="12"/>
  <c r="J7" i="12" s="1"/>
  <c r="I11" i="12"/>
  <c r="J11" i="12" s="1"/>
  <c r="I9" i="12"/>
  <c r="J9" i="12" s="1"/>
  <c r="I7" i="13"/>
  <c r="J7" i="13" s="1"/>
  <c r="I9" i="13"/>
  <c r="J9" i="13" s="1"/>
  <c r="I10" i="13"/>
  <c r="J10" i="13" s="1"/>
  <c r="I8" i="13"/>
  <c r="J8" i="13" s="1"/>
  <c r="I11" i="13"/>
  <c r="J11" i="13" s="1"/>
  <c r="I11" i="11"/>
  <c r="J11" i="11" s="1"/>
  <c r="I10" i="11"/>
  <c r="J10" i="11" s="1"/>
  <c r="I8" i="11"/>
  <c r="J8" i="11" s="1"/>
  <c r="I7" i="11"/>
  <c r="J7" i="11" s="1"/>
  <c r="I9" i="11"/>
  <c r="J9" i="11" s="1"/>
  <c r="P11" i="1"/>
  <c r="L11" i="1"/>
  <c r="O11" i="1"/>
  <c r="M11" i="1"/>
  <c r="N11" i="1"/>
  <c r="N14" i="1"/>
  <c r="O14" i="1"/>
  <c r="M14" i="1"/>
  <c r="P14" i="1"/>
  <c r="L14" i="1"/>
  <c r="I7" i="2"/>
  <c r="J7" i="2" s="1"/>
  <c r="I11" i="2"/>
  <c r="J11" i="2" s="1"/>
  <c r="I8" i="2"/>
  <c r="J8" i="2" s="1"/>
  <c r="I9" i="2"/>
  <c r="J9" i="2" s="1"/>
  <c r="I10" i="2"/>
  <c r="J10" i="2" s="1"/>
  <c r="I11" i="5"/>
  <c r="J11" i="5" s="1"/>
  <c r="I10" i="5"/>
  <c r="J10" i="5" s="1"/>
  <c r="I7" i="5"/>
  <c r="J7" i="5" s="1"/>
  <c r="I9" i="5"/>
  <c r="J9" i="5" s="1"/>
  <c r="I8" i="5"/>
  <c r="J8" i="5" s="1"/>
  <c r="I11" i="8"/>
  <c r="J11" i="8" s="1"/>
  <c r="I9" i="8"/>
  <c r="J9" i="8" s="1"/>
  <c r="I8" i="8"/>
  <c r="J8" i="8" s="1"/>
  <c r="I7" i="8"/>
  <c r="J7" i="8" s="1"/>
  <c r="I10" i="8"/>
  <c r="J10" i="8" s="1"/>
  <c r="I11" i="6"/>
  <c r="J11" i="6" s="1"/>
  <c r="I10" i="6"/>
  <c r="J10" i="6" s="1"/>
  <c r="I8" i="6"/>
  <c r="J8" i="6" s="1"/>
  <c r="I7" i="6"/>
  <c r="J7" i="6" s="1"/>
  <c r="I9" i="6"/>
  <c r="J9" i="6" s="1"/>
  <c r="H16" i="1" l="1"/>
  <c r="H13" i="1"/>
  <c r="Q13" i="1"/>
  <c r="J12" i="15"/>
  <c r="H19" i="1"/>
  <c r="Q19" i="1"/>
  <c r="Q18" i="1"/>
  <c r="H17" i="1"/>
  <c r="H20" i="1"/>
  <c r="Q11" i="1"/>
  <c r="Q17" i="1"/>
  <c r="H14" i="1"/>
  <c r="H12" i="1"/>
  <c r="Q16" i="1"/>
  <c r="H18" i="1"/>
  <c r="H15" i="1"/>
  <c r="Q12" i="1"/>
  <c r="H11" i="1"/>
  <c r="Q14" i="1"/>
  <c r="Q20" i="1"/>
  <c r="Q15" i="1"/>
  <c r="J12" i="11"/>
  <c r="J12" i="13"/>
  <c r="J12" i="14"/>
  <c r="J12" i="10"/>
  <c r="J12" i="12"/>
  <c r="J12" i="6"/>
  <c r="J12" i="8"/>
  <c r="J12" i="5"/>
  <c r="J12" i="2"/>
  <c r="I16" i="1" l="1"/>
  <c r="I11" i="1"/>
  <c r="I17" i="1"/>
  <c r="I14" i="1"/>
  <c r="I18" i="1"/>
  <c r="I15" i="1"/>
  <c r="I12" i="1"/>
  <c r="I20" i="1"/>
  <c r="I19" i="1"/>
  <c r="I13" i="1"/>
</calcChain>
</file>

<file path=xl/sharedStrings.xml><?xml version="1.0" encoding="utf-8"?>
<sst xmlns="http://schemas.openxmlformats.org/spreadsheetml/2006/main" count="3709" uniqueCount="204">
  <si>
    <t>Rússia</t>
  </si>
  <si>
    <t>x</t>
  </si>
  <si>
    <t>Arábia Saudita</t>
  </si>
  <si>
    <t>Uruguai</t>
  </si>
  <si>
    <t>Marrocos</t>
  </si>
  <si>
    <t>Portugal</t>
  </si>
  <si>
    <t>Espanha</t>
  </si>
  <si>
    <t>França</t>
  </si>
  <si>
    <t>Austrália</t>
  </si>
  <si>
    <t>Argentina</t>
  </si>
  <si>
    <t>Croácia</t>
  </si>
  <si>
    <t>Brasil</t>
  </si>
  <si>
    <t>Alemanha</t>
  </si>
  <si>
    <t>México</t>
  </si>
  <si>
    <t>Suécia</t>
  </si>
  <si>
    <t>Coréia do Sul</t>
  </si>
  <si>
    <t>Bélgica</t>
  </si>
  <si>
    <t>Tunísia</t>
  </si>
  <si>
    <t>Inglaterra</t>
  </si>
  <si>
    <t>Japão</t>
  </si>
  <si>
    <t>Senegal</t>
  </si>
  <si>
    <t>Bernardo</t>
  </si>
  <si>
    <t>Marcio</t>
  </si>
  <si>
    <t>Renan</t>
  </si>
  <si>
    <t>Posição</t>
  </si>
  <si>
    <t>Phibriano</t>
  </si>
  <si>
    <t>BERNARDO</t>
  </si>
  <si>
    <t>ELIANE</t>
  </si>
  <si>
    <t>MARCIO</t>
  </si>
  <si>
    <t>RENAN</t>
  </si>
  <si>
    <t>YURI</t>
  </si>
  <si>
    <t>Vencedor da Partida</t>
  </si>
  <si>
    <t>Score Vencedor</t>
  </si>
  <si>
    <t>Score Perdedor</t>
  </si>
  <si>
    <t>Palpite do Vencedor da Partida</t>
  </si>
  <si>
    <t>Pontos Ganhos</t>
  </si>
  <si>
    <t>OFICIAL</t>
  </si>
  <si>
    <t>9 PONTOS</t>
  </si>
  <si>
    <t>6 PONTOS</t>
  </si>
  <si>
    <t>4 PONTOS</t>
  </si>
  <si>
    <t>3 PONTOS</t>
  </si>
  <si>
    <t>RUMO AO HEXA!</t>
  </si>
  <si>
    <t>VENCEDOR COM APENAS O NÚMERO DE GOLS DO PERDEDOR CORRETO</t>
  </si>
  <si>
    <t>0 PONTOS</t>
  </si>
  <si>
    <t>ERROU O VENCEDOR OU ERROU O JOGO QUE FOI EMPATE</t>
  </si>
  <si>
    <t>LEGENDA</t>
  </si>
  <si>
    <t>PONTOS</t>
  </si>
  <si>
    <t>QTD</t>
  </si>
  <si>
    <t>TOTAL</t>
  </si>
  <si>
    <t>VENCEDOR COM AMBOS OS NÚMERO DE GOLS ERRADO</t>
  </si>
  <si>
    <t>VENCEDOR COM APENAS O NÚMERO DE GOLS DO VENCEDOR CORRETO OU EMPATE COM O NÚMERO DE GOLS ERRADO</t>
  </si>
  <si>
    <t>Pontos</t>
  </si>
  <si>
    <t>MAIOR NÚMERO DE JOGOS COM 9 PONTOS</t>
  </si>
  <si>
    <t>MAIOR NÚMERO DE JOGOS COM 6 PONTOS</t>
  </si>
  <si>
    <t>MAIOR NÚMERO DE JOGOS COM 4 PONTOS</t>
  </si>
  <si>
    <t>MAIOR NÚMERO DE JOGOS COM 3 PONTOS</t>
  </si>
  <si>
    <t>SORTEIO</t>
  </si>
  <si>
    <t>CRITÉRIOS DE DESEMPATE</t>
  </si>
  <si>
    <t>JOGOS</t>
  </si>
  <si>
    <t>BRASIL</t>
  </si>
  <si>
    <t>Ano</t>
  </si>
  <si>
    <t>Anfitrião</t>
  </si>
  <si>
    <t>Campeão</t>
  </si>
  <si>
    <t>Placar</t>
  </si>
  <si>
    <t>Vice-campeão</t>
  </si>
  <si>
    <t>ALEMANHA</t>
  </si>
  <si>
    <t>ITÁLIA</t>
  </si>
  <si>
    <t>Itália</t>
  </si>
  <si>
    <t>2-1 (PRO)</t>
  </si>
  <si>
    <t>Checoslováquia</t>
  </si>
  <si>
    <t>URUGUAI</t>
  </si>
  <si>
    <t>Hungria</t>
  </si>
  <si>
    <t>ARGENTINA</t>
  </si>
  <si>
    <t>INGLATERRA</t>
  </si>
  <si>
    <t>Suíça</t>
  </si>
  <si>
    <t>Alemanha Ocidental</t>
  </si>
  <si>
    <t>FRANÇA</t>
  </si>
  <si>
    <t>ESPANHA</t>
  </si>
  <si>
    <t>Chile</t>
  </si>
  <si>
    <t>4-2 (PRO)</t>
  </si>
  <si>
    <t>Holanda</t>
  </si>
  <si>
    <t>3-1 (PRO)</t>
  </si>
  <si>
    <t> Alemanha Ocidental</t>
  </si>
  <si>
    <t>1-0</t>
  </si>
  <si>
    <t>EUA</t>
  </si>
  <si>
    <t>0-0 (3-2 P)</t>
  </si>
  <si>
    <t>3-0</t>
  </si>
  <si>
    <t>Japão e Coreia do Sul</t>
  </si>
  <si>
    <t>2-0</t>
  </si>
  <si>
    <t>1-1 (5-3 P)</t>
  </si>
  <si>
    <t>África do Sul</t>
  </si>
  <si>
    <t>1-0 (PRO)</t>
  </si>
  <si>
    <t>PALPITES</t>
  </si>
  <si>
    <t>THIAGO</t>
  </si>
  <si>
    <t>Fernando</t>
  </si>
  <si>
    <t>Gabriel</t>
  </si>
  <si>
    <t>Thiago</t>
  </si>
  <si>
    <t>Marques</t>
  </si>
  <si>
    <t>Soares</t>
  </si>
  <si>
    <t>Catar</t>
  </si>
  <si>
    <t>FELIPE</t>
  </si>
  <si>
    <t>FERNANDO</t>
  </si>
  <si>
    <t>GABRIEL</t>
  </si>
  <si>
    <t>HERIS</t>
  </si>
  <si>
    <t>KEVEN</t>
  </si>
  <si>
    <t>MARQUES</t>
  </si>
  <si>
    <t>SOARES</t>
  </si>
  <si>
    <t>Equador</t>
  </si>
  <si>
    <t>Irã</t>
  </si>
  <si>
    <t>Estados Unidos</t>
  </si>
  <si>
    <t>Canadá</t>
  </si>
  <si>
    <t>Gana</t>
  </si>
  <si>
    <t>VENCEDOR COM PLACAR CORRETO OU EMPATE COM PLACAR CORRETO</t>
  </si>
  <si>
    <t>Copa Phibra 2026</t>
  </si>
  <si>
    <t>Ricardo</t>
  </si>
  <si>
    <t>Gustavo</t>
  </si>
  <si>
    <t>República Tcheca</t>
  </si>
  <si>
    <t>Bósnia</t>
  </si>
  <si>
    <t>Haiti</t>
  </si>
  <si>
    <t>Escócia</t>
  </si>
  <si>
    <t>Paraguai</t>
  </si>
  <si>
    <t>Turquia</t>
  </si>
  <si>
    <t>Curaçao</t>
  </si>
  <si>
    <t>Costa do Marfim</t>
  </si>
  <si>
    <t>Egito</t>
  </si>
  <si>
    <t>Nova Zelândia</t>
  </si>
  <si>
    <t>Cabo Verde</t>
  </si>
  <si>
    <t>Iraque</t>
  </si>
  <si>
    <t>Noruega</t>
  </si>
  <si>
    <t>Argélia</t>
  </si>
  <si>
    <t>Áustria</t>
  </si>
  <si>
    <t>Jordânia</t>
  </si>
  <si>
    <t>RD Congo</t>
  </si>
  <si>
    <t>Uzbequistão</t>
  </si>
  <si>
    <t>Colômbia</t>
  </si>
  <si>
    <t>Panamá</t>
  </si>
  <si>
    <t>GUSTAVO</t>
  </si>
  <si>
    <t>RICARDO</t>
  </si>
  <si>
    <t>1º E</t>
  </si>
  <si>
    <t>3º ABCDF</t>
  </si>
  <si>
    <t>1º I</t>
  </si>
  <si>
    <t>3º CDFGH</t>
  </si>
  <si>
    <t>2º A</t>
  </si>
  <si>
    <t>2º B</t>
  </si>
  <si>
    <t>1º F</t>
  </si>
  <si>
    <t>2º C</t>
  </si>
  <si>
    <t>2º K</t>
  </si>
  <si>
    <t>2º L</t>
  </si>
  <si>
    <t>1º H</t>
  </si>
  <si>
    <t>2º J</t>
  </si>
  <si>
    <t>1º D</t>
  </si>
  <si>
    <t>3º BEFIJ</t>
  </si>
  <si>
    <t>1º G</t>
  </si>
  <si>
    <t>3º AEHIJ</t>
  </si>
  <si>
    <t>1º C</t>
  </si>
  <si>
    <t>2º F</t>
  </si>
  <si>
    <t>2º E</t>
  </si>
  <si>
    <t>2º I</t>
  </si>
  <si>
    <t>1º A</t>
  </si>
  <si>
    <t>3º CEFHI</t>
  </si>
  <si>
    <t>1º L</t>
  </si>
  <si>
    <t>3º EHIJK</t>
  </si>
  <si>
    <t>1º J</t>
  </si>
  <si>
    <t>2º H</t>
  </si>
  <si>
    <t>2º D</t>
  </si>
  <si>
    <t>2º G</t>
  </si>
  <si>
    <t>1º B</t>
  </si>
  <si>
    <t>3º EFGIJ</t>
  </si>
  <si>
    <t>1º K</t>
  </si>
  <si>
    <t>3º DEIJL</t>
  </si>
  <si>
    <t>Venc. Segunda Fase 1</t>
  </si>
  <si>
    <t>Venc. Segunda Fase 2</t>
  </si>
  <si>
    <t>Venc. Segunda Fase 3</t>
  </si>
  <si>
    <t>Venc. Segunda Fase 5</t>
  </si>
  <si>
    <t>Venc. Segunda Fase 7</t>
  </si>
  <si>
    <t>Venc. Segunda Fase 9</t>
  </si>
  <si>
    <t>Venc. Segunda Fase 11</t>
  </si>
  <si>
    <t>Venc. Segunda Fase 13</t>
  </si>
  <si>
    <t>Venc. Segunda Fase 15</t>
  </si>
  <si>
    <t>Venc. Segunda Fase 4</t>
  </si>
  <si>
    <t>Venc. Segunda Fase 6</t>
  </si>
  <si>
    <t>Venc. Segunda Fase 8</t>
  </si>
  <si>
    <t>Venc. Segunda Fase 10</t>
  </si>
  <si>
    <t>Venc. Segunda Fase 12</t>
  </si>
  <si>
    <t>Venc. Segunda Fase 14</t>
  </si>
  <si>
    <t>Venc. Segunda Fase 16</t>
  </si>
  <si>
    <t>Venc. Oitavas 1</t>
  </si>
  <si>
    <t>Venc. Oitavas 2</t>
  </si>
  <si>
    <t>Venc. Oitavas 3</t>
  </si>
  <si>
    <t>Venc. Oitavas 5</t>
  </si>
  <si>
    <t>Venc. Oitavas 7</t>
  </si>
  <si>
    <t>Venc. Oitavas 4</t>
  </si>
  <si>
    <t>Venc. Oitavas 6</t>
  </si>
  <si>
    <t>Venc. Oitavas 8</t>
  </si>
  <si>
    <t>Venc. Quartas 1</t>
  </si>
  <si>
    <t>Venc. Quartas 2</t>
  </si>
  <si>
    <t>Venc. Quartas 3</t>
  </si>
  <si>
    <t>Venc. Quartas 4</t>
  </si>
  <si>
    <t>Perd. Semifinal 1</t>
  </si>
  <si>
    <t>Perd. Semifinal 2</t>
  </si>
  <si>
    <t>Venc. Semifinal 1</t>
  </si>
  <si>
    <t>Venc. Semifinal 2</t>
  </si>
  <si>
    <t>Canadá, EUA e México</t>
  </si>
  <si>
    <t>3-3 (4-2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</si>
</sst>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4" x14ac:knownFonts="1">
    <font>
      <sz val="11"/>
      <color theme="1"/>
      <name val="Calibri"/>
      <family val="2"/>
      <scheme val="minor"/>
    </font>
    <font>
      <sz val="11"/>
      <color rgb="FF5A5A5A"/>
      <name val="Arial"/>
      <family val="2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26"/>
      <color rgb="FFFFFF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081F2C"/>
      <name val="Arial"/>
      <family val="2"/>
    </font>
    <font>
      <b/>
      <sz val="11"/>
      <color rgb="FFFFFFFF"/>
      <name val="Arial"/>
      <family val="2"/>
    </font>
    <font>
      <b/>
      <sz val="11"/>
      <color rgb="FF081F2C"/>
      <name val="Arial"/>
      <family val="2"/>
    </font>
    <font>
      <sz val="12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5A5A5A"/>
      <name val="Arial"/>
      <family val="2"/>
    </font>
    <font>
      <b/>
      <sz val="11"/>
      <color rgb="FF5A5A5A"/>
      <name val="Arial"/>
      <family val="2"/>
    </font>
    <font>
      <sz val="11"/>
      <color theme="1"/>
      <name val="Calibri"/>
      <family val="2"/>
      <charset val="1"/>
    </font>
    <font>
      <sz val="11"/>
      <color rgb="FF5A5A5A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A9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162">
    <xf numFmtId="0" fontId="0" fillId="0" borderId="0" xfId="0"/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3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8" borderId="2" xfId="0" applyFill="1" applyBorder="1"/>
    <xf numFmtId="0" fontId="0" fillId="5" borderId="2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9" borderId="0" xfId="0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2" fillId="10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16" fontId="11" fillId="2" borderId="3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5" fillId="8" borderId="0" xfId="0" applyFont="1" applyFill="1"/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31" xfId="0" applyNumberFormat="1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left" vertical="center"/>
    </xf>
    <xf numFmtId="0" fontId="1" fillId="4" borderId="31" xfId="0" applyFont="1" applyFill="1" applyBorder="1" applyAlignment="1">
      <alignment horizontal="center" vertical="center"/>
    </xf>
    <xf numFmtId="14" fontId="1" fillId="12" borderId="1" xfId="0" applyNumberFormat="1" applyFont="1" applyFill="1" applyBorder="1" applyAlignment="1">
      <alignment horizontal="center" vertical="center"/>
    </xf>
    <xf numFmtId="20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14" fontId="1" fillId="12" borderId="31" xfId="0" applyNumberFormat="1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left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vertical="center"/>
    </xf>
    <xf numFmtId="14" fontId="1" fillId="14" borderId="1" xfId="0" applyNumberFormat="1" applyFont="1" applyFill="1" applyBorder="1" applyAlignment="1">
      <alignment horizontal="center" vertical="center"/>
    </xf>
    <xf numFmtId="20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4" fontId="1" fillId="15" borderId="1" xfId="0" applyNumberFormat="1" applyFont="1" applyFill="1" applyBorder="1" applyAlignment="1">
      <alignment horizontal="center" vertical="center"/>
    </xf>
    <xf numFmtId="20" fontId="1" fillId="15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14" fontId="1" fillId="16" borderId="1" xfId="0" applyNumberFormat="1" applyFont="1" applyFill="1" applyBorder="1" applyAlignment="1">
      <alignment horizontal="center" vertical="center"/>
    </xf>
    <xf numFmtId="20" fontId="1" fillId="16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4" fontId="1" fillId="17" borderId="1" xfId="0" applyNumberFormat="1" applyFont="1" applyFill="1" applyBorder="1" applyAlignment="1">
      <alignment horizontal="center" vertical="center"/>
    </xf>
    <xf numFmtId="20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horizontal="center" vertical="center"/>
    </xf>
    <xf numFmtId="14" fontId="1" fillId="18" borderId="1" xfId="0" applyNumberFormat="1" applyFont="1" applyFill="1" applyBorder="1" applyAlignment="1">
      <alignment horizontal="center" vertical="center"/>
    </xf>
    <xf numFmtId="20" fontId="1" fillId="18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/>
    </xf>
    <xf numFmtId="20" fontId="1" fillId="19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20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6" borderId="3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20" borderId="0" xfId="0" applyFill="1"/>
    <xf numFmtId="0" fontId="1" fillId="20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center" vertical="center"/>
    </xf>
    <xf numFmtId="0" fontId="19" fillId="20" borderId="0" xfId="0" applyFont="1" applyFill="1" applyAlignment="1">
      <alignment vertical="center"/>
    </xf>
    <xf numFmtId="0" fontId="4" fillId="20" borderId="0" xfId="0" applyFont="1" applyFill="1" applyAlignment="1">
      <alignment vertical="center"/>
    </xf>
    <xf numFmtId="0" fontId="20" fillId="12" borderId="1" xfId="0" applyFont="1" applyFill="1" applyBorder="1" applyAlignment="1">
      <alignment horizontal="center" vertical="center"/>
    </xf>
    <xf numFmtId="7" fontId="18" fillId="0" borderId="0" xfId="0" applyNumberFormat="1" applyFont="1" applyAlignment="1">
      <alignment horizontal="center"/>
    </xf>
    <xf numFmtId="14" fontId="21" fillId="19" borderId="1" xfId="0" applyNumberFormat="1" applyFont="1" applyFill="1" applyBorder="1" applyAlignment="1">
      <alignment horizontal="center" vertical="center"/>
    </xf>
    <xf numFmtId="20" fontId="21" fillId="19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14" fontId="1" fillId="21" borderId="1" xfId="0" applyNumberFormat="1" applyFont="1" applyFill="1" applyBorder="1" applyAlignment="1">
      <alignment horizontal="center" vertical="center"/>
    </xf>
    <xf numFmtId="20" fontId="1" fillId="21" borderId="1" xfId="0" applyNumberFormat="1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center" vertical="center"/>
    </xf>
    <xf numFmtId="14" fontId="1" fillId="21" borderId="31" xfId="0" applyNumberFormat="1" applyFont="1" applyFill="1" applyBorder="1" applyAlignment="1">
      <alignment horizontal="center" vertical="center"/>
    </xf>
    <xf numFmtId="0" fontId="1" fillId="21" borderId="31" xfId="0" applyFont="1" applyFill="1" applyBorder="1" applyAlignment="1">
      <alignment horizontal="left" vertical="center"/>
    </xf>
    <xf numFmtId="0" fontId="1" fillId="21" borderId="31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/>
    </xf>
    <xf numFmtId="0" fontId="23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1" fillId="9" borderId="1" xfId="0" applyNumberFormat="1" applyFont="1" applyFill="1" applyBorder="1" applyAlignment="1">
      <alignment horizontal="center" vertical="center"/>
    </xf>
    <xf numFmtId="20" fontId="21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4" fontId="1" fillId="22" borderId="31" xfId="0" applyNumberFormat="1" applyFont="1" applyFill="1" applyBorder="1" applyAlignment="1">
      <alignment horizontal="center" vertical="center"/>
    </xf>
    <xf numFmtId="20" fontId="1" fillId="22" borderId="1" xfId="0" applyNumberFormat="1" applyFont="1" applyFill="1" applyBorder="1" applyAlignment="1">
      <alignment horizontal="center" vertical="center"/>
    </xf>
    <xf numFmtId="0" fontId="1" fillId="22" borderId="31" xfId="0" applyFont="1" applyFill="1" applyBorder="1" applyAlignment="1">
      <alignment horizontal="left" vertical="center"/>
    </xf>
    <xf numFmtId="0" fontId="1" fillId="22" borderId="31" xfId="0" applyFont="1" applyFill="1" applyBorder="1" applyAlignment="1">
      <alignment horizontal="center" vertical="center"/>
    </xf>
    <xf numFmtId="0" fontId="1" fillId="22" borderId="31" xfId="0" applyFont="1" applyFill="1" applyBorder="1" applyAlignment="1">
      <alignment vertical="center"/>
    </xf>
    <xf numFmtId="14" fontId="1" fillId="22" borderId="1" xfId="0" applyNumberFormat="1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6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/>
    </xf>
  </cellXfs>
  <cellStyles count="2">
    <cellStyle name="Normal" xfId="0" builtinId="0"/>
    <cellStyle name="Normal 2" xfId="1" xr:uid="{D1503C03-D36C-43A9-9FBF-D104EF879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5"/>
  <sheetViews>
    <sheetView showGridLines="0" tabSelected="1" zoomScale="90" zoomScaleNormal="90" workbookViewId="0">
      <pane ySplit="1" topLeftCell="A10" activePane="bottomLeft" state="frozen"/>
      <selection pane="bottomLeft" activeCell="K53" sqref="K53"/>
    </sheetView>
  </sheetViews>
  <sheetFormatPr defaultRowHeight="14.4" x14ac:dyDescent="0.3"/>
  <cols>
    <col min="1" max="1" width="14.5546875" style="50" customWidth="1"/>
    <col min="2" max="2" width="12.88671875" style="50" customWidth="1"/>
    <col min="3" max="3" width="23.21875" bestFit="1" customWidth="1"/>
    <col min="4" max="4" width="7.6640625" style="18" customWidth="1"/>
    <col min="5" max="5" width="2.109375" style="18" bestFit="1" customWidth="1"/>
    <col min="6" max="6" width="7.6640625" style="18" customWidth="1"/>
    <col min="7" max="7" width="23.21875" bestFit="1" customWidth="1"/>
    <col min="8" max="8" width="10" style="50" bestFit="1" customWidth="1"/>
    <col min="9" max="9" width="11" bestFit="1" customWidth="1"/>
    <col min="10" max="10" width="16.21875" bestFit="1" customWidth="1"/>
    <col min="11" max="11" width="9.6640625" bestFit="1" customWidth="1"/>
    <col min="12" max="14" width="4.44140625" bestFit="1" customWidth="1"/>
    <col min="15" max="15" width="5.33203125" bestFit="1" customWidth="1"/>
    <col min="16" max="16" width="4.44140625" bestFit="1" customWidth="1"/>
    <col min="17" max="17" width="5" bestFit="1" customWidth="1"/>
    <col min="18" max="18" width="21.33203125" bestFit="1" customWidth="1"/>
    <col min="19" max="19" width="16.33203125" bestFit="1" customWidth="1"/>
    <col min="20" max="20" width="15.88671875" bestFit="1" customWidth="1"/>
    <col min="21" max="21" width="4.109375" bestFit="1" customWidth="1"/>
    <col min="22" max="22" width="15.109375" bestFit="1" customWidth="1"/>
    <col min="23" max="23" width="141.5546875" bestFit="1" customWidth="1"/>
    <col min="24" max="24" width="12.88671875" bestFit="1" customWidth="1"/>
    <col min="27" max="27" width="11.5546875" bestFit="1" customWidth="1"/>
    <col min="28" max="28" width="7.6640625" bestFit="1" customWidth="1"/>
    <col min="29" max="29" width="8.6640625" bestFit="1" customWidth="1"/>
    <col min="30" max="30" width="7.6640625" bestFit="1" customWidth="1"/>
    <col min="31" max="31" width="9.88671875" bestFit="1" customWidth="1"/>
    <col min="32" max="32" width="6.6640625" bestFit="1" customWidth="1"/>
    <col min="33" max="33" width="7.109375" bestFit="1" customWidth="1"/>
  </cols>
  <sheetData>
    <row r="1" spans="1:39" ht="33.75" customHeight="1" thickTop="1" x14ac:dyDescent="0.5">
      <c r="A1" s="141" t="s">
        <v>58</v>
      </c>
      <c r="B1" s="141"/>
      <c r="C1" s="141"/>
      <c r="D1" s="141"/>
      <c r="E1" s="141"/>
      <c r="F1" s="141"/>
      <c r="G1" s="141"/>
      <c r="H1" s="20"/>
      <c r="I1" s="145" t="s">
        <v>36</v>
      </c>
      <c r="J1" s="146"/>
      <c r="K1" s="146"/>
      <c r="L1" s="146"/>
      <c r="M1" s="146"/>
      <c r="N1" s="146"/>
      <c r="O1" s="146"/>
      <c r="P1" s="147"/>
      <c r="Q1" s="14"/>
      <c r="R1" s="13" t="s">
        <v>31</v>
      </c>
      <c r="S1" s="3" t="s">
        <v>32</v>
      </c>
      <c r="T1" s="3" t="s">
        <v>33</v>
      </c>
      <c r="AA1" s="44" t="s">
        <v>26</v>
      </c>
      <c r="AB1" s="44" t="s">
        <v>27</v>
      </c>
      <c r="AC1" s="44" t="s">
        <v>100</v>
      </c>
      <c r="AD1" s="44" t="s">
        <v>101</v>
      </c>
      <c r="AE1" s="44" t="s">
        <v>102</v>
      </c>
      <c r="AF1" s="44" t="s">
        <v>103</v>
      </c>
      <c r="AG1" s="44" t="s">
        <v>104</v>
      </c>
      <c r="AH1" s="44" t="s">
        <v>28</v>
      </c>
      <c r="AI1" s="44" t="s">
        <v>29</v>
      </c>
      <c r="AJ1" s="44" t="s">
        <v>93</v>
      </c>
      <c r="AK1" s="44" t="s">
        <v>105</v>
      </c>
      <c r="AL1" s="44" t="s">
        <v>106</v>
      </c>
      <c r="AM1" s="44" t="s">
        <v>30</v>
      </c>
    </row>
    <row r="2" spans="1:39" ht="21" customHeight="1" x14ac:dyDescent="0.35">
      <c r="A2" s="110">
        <v>46184</v>
      </c>
      <c r="B2" s="111">
        <v>0.66666666666666663</v>
      </c>
      <c r="C2" s="112" t="s">
        <v>13</v>
      </c>
      <c r="D2" s="113">
        <v>2</v>
      </c>
      <c r="E2" s="113" t="s">
        <v>1</v>
      </c>
      <c r="F2" s="113">
        <v>0</v>
      </c>
      <c r="G2" s="112" t="s">
        <v>90</v>
      </c>
      <c r="H2" s="52"/>
      <c r="I2" s="148"/>
      <c r="J2" s="149"/>
      <c r="K2" s="149"/>
      <c r="L2" s="149"/>
      <c r="M2" s="149"/>
      <c r="N2" s="149"/>
      <c r="O2" s="149"/>
      <c r="P2" s="150"/>
      <c r="Q2" s="14"/>
      <c r="R2" s="12" t="str">
        <f>IF(D2="","",IF(D2&gt;F2,C2,IF(F2&gt;D2,G2,"EMPATE")))</f>
        <v>México</v>
      </c>
      <c r="S2" s="9">
        <f>IF(D2="","",IF(D2&gt;F2,D2,IF(F2&gt;D2,F2,D2)))</f>
        <v>2</v>
      </c>
      <c r="T2" s="9">
        <f>IF(D2="","",IF(D2&lt;F2,D2,IF(F2&lt;D2,F2,D2)))</f>
        <v>0</v>
      </c>
      <c r="V2" s="6" t="s">
        <v>45</v>
      </c>
      <c r="W2" s="6"/>
      <c r="AA2" s="45">
        <f>BERNARDO!O2</f>
        <v>0</v>
      </c>
      <c r="AB2" s="45" t="e">
        <f>#REF!</f>
        <v>#REF!</v>
      </c>
      <c r="AC2" s="45" t="e">
        <f>#REF!</f>
        <v>#REF!</v>
      </c>
      <c r="AD2" s="45">
        <f>FERNANDO!O2</f>
        <v>9</v>
      </c>
      <c r="AE2" s="45">
        <f>GABRIEL!O2</f>
        <v>9</v>
      </c>
      <c r="AF2" s="46" t="e">
        <f>#REF!</f>
        <v>#REF!</v>
      </c>
      <c r="AG2" s="45">
        <f>RICARDO!O2</f>
        <v>6</v>
      </c>
      <c r="AH2" s="45">
        <f>MARCIO!O2</f>
        <v>9</v>
      </c>
      <c r="AI2" s="45">
        <f>RENAN!O2</f>
        <v>0</v>
      </c>
      <c r="AJ2" s="45">
        <f>THIAGO!O2</f>
        <v>6</v>
      </c>
      <c r="AK2" s="45">
        <f>MARQUES!O2</f>
        <v>3</v>
      </c>
      <c r="AL2" s="46">
        <f>SOARES!O2</f>
        <v>9</v>
      </c>
      <c r="AM2" s="45">
        <f>GUSTAVO!O2</f>
        <v>9</v>
      </c>
    </row>
    <row r="3" spans="1:39" ht="21" customHeight="1" thickBot="1" x14ac:dyDescent="0.35">
      <c r="A3" s="110">
        <v>46184</v>
      </c>
      <c r="B3" s="111">
        <v>0.95833333333333337</v>
      </c>
      <c r="C3" s="112" t="s">
        <v>15</v>
      </c>
      <c r="D3" s="113">
        <v>2</v>
      </c>
      <c r="E3" s="113" t="s">
        <v>1</v>
      </c>
      <c r="F3" s="113">
        <v>1</v>
      </c>
      <c r="G3" s="112" t="s">
        <v>116</v>
      </c>
      <c r="H3" s="52"/>
      <c r="I3" s="151"/>
      <c r="J3" s="152"/>
      <c r="K3" s="152"/>
      <c r="L3" s="152"/>
      <c r="M3" s="152"/>
      <c r="N3" s="152"/>
      <c r="O3" s="152"/>
      <c r="P3" s="153"/>
      <c r="Q3" s="14"/>
      <c r="R3" s="12" t="str">
        <f t="shared" ref="R3:R22" si="0">IF(D3="","",IF(D3&gt;F3,C3,IF(F3&gt;D3,G3,"EMPATE")))</f>
        <v>Coréia do Sul</v>
      </c>
      <c r="S3" s="9">
        <f t="shared" ref="S3:S22" si="1">IF(D3="","",IF(D3&gt;F3,D3,IF(F3&gt;D3,F3,D3)))</f>
        <v>2</v>
      </c>
      <c r="T3" s="9">
        <f t="shared" ref="T3:T22" si="2">IF(D3="","",IF(D3&lt;F3,D3,IF(F3&lt;D3,F3,D3)))</f>
        <v>1</v>
      </c>
      <c r="AA3" s="45">
        <f>BERNARDO!O3</f>
        <v>0</v>
      </c>
      <c r="AB3" s="45" t="e">
        <f>#REF!</f>
        <v>#REF!</v>
      </c>
      <c r="AC3" s="45" t="e">
        <f>#REF!</f>
        <v>#REF!</v>
      </c>
      <c r="AD3" s="45">
        <f>FERNANDO!O3</f>
        <v>0</v>
      </c>
      <c r="AE3" s="45">
        <f>GABRIEL!O3</f>
        <v>0</v>
      </c>
      <c r="AF3" s="46" t="e">
        <f>#REF!</f>
        <v>#REF!</v>
      </c>
      <c r="AG3" s="45">
        <f>RICARDO!O3</f>
        <v>0</v>
      </c>
      <c r="AH3" s="45">
        <f>MARCIO!O3</f>
        <v>0</v>
      </c>
      <c r="AI3" s="45">
        <f>RENAN!O3</f>
        <v>0</v>
      </c>
      <c r="AJ3" s="45">
        <f>THIAGO!O3</f>
        <v>0</v>
      </c>
      <c r="AK3" s="45">
        <f>MARQUES!O3</f>
        <v>9</v>
      </c>
      <c r="AL3" s="46">
        <f>SOARES!O3</f>
        <v>0</v>
      </c>
      <c r="AM3" s="45">
        <f>GUSTAVO!O3</f>
        <v>3</v>
      </c>
    </row>
    <row r="4" spans="1:39" ht="21" customHeight="1" thickTop="1" thickBot="1" x14ac:dyDescent="0.4">
      <c r="A4" s="110">
        <v>46185</v>
      </c>
      <c r="B4" s="111">
        <v>0.66666666666666663</v>
      </c>
      <c r="C4" s="112" t="s">
        <v>110</v>
      </c>
      <c r="D4" s="113">
        <v>1</v>
      </c>
      <c r="E4" s="113" t="s">
        <v>1</v>
      </c>
      <c r="F4" s="113">
        <v>1</v>
      </c>
      <c r="G4" s="112" t="s">
        <v>117</v>
      </c>
      <c r="H4" s="52"/>
      <c r="I4" s="5"/>
      <c r="J4" s="5"/>
      <c r="R4" s="12" t="str">
        <f t="shared" si="0"/>
        <v>EMPATE</v>
      </c>
      <c r="S4" s="9">
        <f t="shared" si="1"/>
        <v>1</v>
      </c>
      <c r="T4" s="9">
        <f t="shared" si="2"/>
        <v>1</v>
      </c>
      <c r="V4" s="2" t="s">
        <v>37</v>
      </c>
      <c r="W4" s="6" t="s">
        <v>112</v>
      </c>
      <c r="AA4" s="45">
        <f>BERNARDO!O4</f>
        <v>9</v>
      </c>
      <c r="AB4" s="45" t="e">
        <f>#REF!</f>
        <v>#REF!</v>
      </c>
      <c r="AC4" s="45" t="e">
        <f>#REF!</f>
        <v>#REF!</v>
      </c>
      <c r="AD4" s="45">
        <f>FERNANDO!O4</f>
        <v>0</v>
      </c>
      <c r="AE4" s="45">
        <f>GABRIEL!O4</f>
        <v>0</v>
      </c>
      <c r="AF4" s="46" t="e">
        <f>#REF!</f>
        <v>#REF!</v>
      </c>
      <c r="AG4" s="45">
        <f>RICARDO!O4</f>
        <v>0</v>
      </c>
      <c r="AH4" s="45">
        <f>MARCIO!O4</f>
        <v>9</v>
      </c>
      <c r="AI4" s="45">
        <f>RENAN!O4</f>
        <v>0</v>
      </c>
      <c r="AJ4" s="45">
        <f>THIAGO!O4</f>
        <v>0</v>
      </c>
      <c r="AK4" s="45">
        <f>MARQUES!O4</f>
        <v>0</v>
      </c>
      <c r="AL4" s="46">
        <f>SOARES!O4</f>
        <v>0</v>
      </c>
      <c r="AM4" s="45">
        <f>GUSTAVO!O4</f>
        <v>0</v>
      </c>
    </row>
    <row r="5" spans="1:39" ht="21" customHeight="1" thickTop="1" x14ac:dyDescent="0.35">
      <c r="A5" s="110">
        <v>46185</v>
      </c>
      <c r="B5" s="111">
        <v>0.91666666666666663</v>
      </c>
      <c r="C5" s="112" t="s">
        <v>109</v>
      </c>
      <c r="D5" s="113">
        <v>4</v>
      </c>
      <c r="E5" s="113" t="s">
        <v>1</v>
      </c>
      <c r="F5" s="113">
        <v>1</v>
      </c>
      <c r="G5" s="112" t="s">
        <v>120</v>
      </c>
      <c r="H5" s="52"/>
      <c r="I5" s="145" t="s">
        <v>41</v>
      </c>
      <c r="J5" s="146"/>
      <c r="K5" s="146"/>
      <c r="L5" s="146"/>
      <c r="M5" s="146"/>
      <c r="N5" s="146"/>
      <c r="O5" s="146"/>
      <c r="P5" s="147"/>
      <c r="Q5" s="14"/>
      <c r="R5" s="12" t="str">
        <f t="shared" si="0"/>
        <v>Estados Unidos</v>
      </c>
      <c r="S5" s="9">
        <f t="shared" si="1"/>
        <v>4</v>
      </c>
      <c r="T5" s="9">
        <f t="shared" si="2"/>
        <v>1</v>
      </c>
      <c r="V5" s="2" t="s">
        <v>38</v>
      </c>
      <c r="W5" s="6" t="s">
        <v>50</v>
      </c>
      <c r="AA5" s="45">
        <f>BERNARDO!O5</f>
        <v>4</v>
      </c>
      <c r="AB5" s="45" t="e">
        <f>#REF!</f>
        <v>#REF!</v>
      </c>
      <c r="AC5" s="45" t="e">
        <f>#REF!</f>
        <v>#REF!</v>
      </c>
      <c r="AD5" s="45">
        <f>FERNANDO!O5</f>
        <v>3</v>
      </c>
      <c r="AE5" s="45">
        <f>GABRIEL!O5</f>
        <v>0</v>
      </c>
      <c r="AF5" s="46" t="e">
        <f>#REF!</f>
        <v>#REF!</v>
      </c>
      <c r="AG5" s="45">
        <f>RICARDO!O5</f>
        <v>4</v>
      </c>
      <c r="AH5" s="45">
        <f>MARCIO!O5</f>
        <v>0</v>
      </c>
      <c r="AI5" s="45">
        <f>RENAN!O5</f>
        <v>0</v>
      </c>
      <c r="AJ5" s="45">
        <f>THIAGO!O5</f>
        <v>4</v>
      </c>
      <c r="AK5" s="45">
        <f>MARQUES!O5</f>
        <v>4</v>
      </c>
      <c r="AL5" s="46">
        <f>SOARES!O5</f>
        <v>4</v>
      </c>
      <c r="AM5" s="45">
        <f>GUSTAVO!O5</f>
        <v>4</v>
      </c>
    </row>
    <row r="6" spans="1:39" ht="21" customHeight="1" x14ac:dyDescent="0.35">
      <c r="A6" s="110">
        <v>46186</v>
      </c>
      <c r="B6" s="111">
        <v>0.66666666666666663</v>
      </c>
      <c r="C6" s="112" t="s">
        <v>99</v>
      </c>
      <c r="D6" s="113">
        <v>1</v>
      </c>
      <c r="E6" s="113" t="s">
        <v>1</v>
      </c>
      <c r="F6" s="113">
        <v>1</v>
      </c>
      <c r="G6" s="112" t="s">
        <v>74</v>
      </c>
      <c r="H6" s="52"/>
      <c r="I6" s="148"/>
      <c r="J6" s="149"/>
      <c r="K6" s="149"/>
      <c r="L6" s="149"/>
      <c r="M6" s="149"/>
      <c r="N6" s="149"/>
      <c r="O6" s="149"/>
      <c r="P6" s="150"/>
      <c r="Q6" s="14"/>
      <c r="R6" s="12" t="str">
        <f t="shared" si="0"/>
        <v>EMPATE</v>
      </c>
      <c r="S6" s="9">
        <f t="shared" si="1"/>
        <v>1</v>
      </c>
      <c r="T6" s="9">
        <f t="shared" si="2"/>
        <v>1</v>
      </c>
      <c r="V6" s="2" t="s">
        <v>39</v>
      </c>
      <c r="W6" s="6" t="s">
        <v>42</v>
      </c>
      <c r="AA6" s="45">
        <f>BERNARDO!O6</f>
        <v>0</v>
      </c>
      <c r="AB6" s="45" t="e">
        <f>#REF!</f>
        <v>#REF!</v>
      </c>
      <c r="AC6" s="45" t="e">
        <f>#REF!</f>
        <v>#REF!</v>
      </c>
      <c r="AD6" s="45">
        <f>FERNANDO!O6</f>
        <v>0</v>
      </c>
      <c r="AE6" s="45">
        <f>GABRIEL!O6</f>
        <v>0</v>
      </c>
      <c r="AF6" s="46" t="e">
        <f>#REF!</f>
        <v>#REF!</v>
      </c>
      <c r="AG6" s="45">
        <f>RICARDO!O6</f>
        <v>0</v>
      </c>
      <c r="AH6" s="45">
        <f>MARCIO!O6</f>
        <v>0</v>
      </c>
      <c r="AI6" s="45">
        <f>RENAN!O6</f>
        <v>0</v>
      </c>
      <c r="AJ6" s="45">
        <f>THIAGO!O6</f>
        <v>0</v>
      </c>
      <c r="AK6" s="45">
        <f>MARQUES!O6</f>
        <v>6</v>
      </c>
      <c r="AL6" s="46">
        <f>SOARES!O6</f>
        <v>0</v>
      </c>
      <c r="AM6" s="45">
        <f>GUSTAVO!O6</f>
        <v>0</v>
      </c>
    </row>
    <row r="7" spans="1:39" ht="21" customHeight="1" thickBot="1" x14ac:dyDescent="0.4">
      <c r="A7" s="110">
        <v>46186</v>
      </c>
      <c r="B7" s="111">
        <v>0.79166666666666663</v>
      </c>
      <c r="C7" s="112" t="s">
        <v>11</v>
      </c>
      <c r="D7" s="113">
        <v>1</v>
      </c>
      <c r="E7" s="113" t="s">
        <v>1</v>
      </c>
      <c r="F7" s="113">
        <v>1</v>
      </c>
      <c r="G7" s="112" t="s">
        <v>4</v>
      </c>
      <c r="H7" s="52"/>
      <c r="I7" s="151"/>
      <c r="J7" s="152"/>
      <c r="K7" s="152"/>
      <c r="L7" s="152"/>
      <c r="M7" s="152"/>
      <c r="N7" s="152"/>
      <c r="O7" s="152"/>
      <c r="P7" s="153"/>
      <c r="Q7" s="14"/>
      <c r="R7" s="12" t="str">
        <f t="shared" si="0"/>
        <v>EMPATE</v>
      </c>
      <c r="S7" s="9">
        <f t="shared" si="1"/>
        <v>1</v>
      </c>
      <c r="T7" s="9">
        <f t="shared" si="2"/>
        <v>1</v>
      </c>
      <c r="V7" s="2" t="s">
        <v>40</v>
      </c>
      <c r="W7" s="6" t="s">
        <v>49</v>
      </c>
      <c r="AA7" s="45">
        <f>BERNARDO!O7</f>
        <v>0</v>
      </c>
      <c r="AB7" s="45" t="e">
        <f>#REF!</f>
        <v>#REF!</v>
      </c>
      <c r="AC7" s="45" t="e">
        <f>#REF!</f>
        <v>#REF!</v>
      </c>
      <c r="AD7" s="45">
        <f>FERNANDO!O7</f>
        <v>0</v>
      </c>
      <c r="AE7" s="45">
        <f>GABRIEL!O7</f>
        <v>0</v>
      </c>
      <c r="AF7" s="46" t="e">
        <f>#REF!</f>
        <v>#REF!</v>
      </c>
      <c r="AG7" s="45">
        <f>RICARDO!O7</f>
        <v>0</v>
      </c>
      <c r="AH7" s="45">
        <f>MARCIO!O7</f>
        <v>0</v>
      </c>
      <c r="AI7" s="45">
        <f>RENAN!O7</f>
        <v>0</v>
      </c>
      <c r="AJ7" s="45">
        <f>THIAGO!O7</f>
        <v>0</v>
      </c>
      <c r="AK7" s="45">
        <f>MARQUES!O7</f>
        <v>0</v>
      </c>
      <c r="AL7" s="46">
        <f>SOARES!O7</f>
        <v>0</v>
      </c>
      <c r="AM7" s="45">
        <f>GUSTAVO!O7</f>
        <v>0</v>
      </c>
    </row>
    <row r="8" spans="1:39" ht="21" customHeight="1" thickTop="1" thickBot="1" x14ac:dyDescent="0.4">
      <c r="A8" s="110">
        <v>46186</v>
      </c>
      <c r="B8" s="111">
        <v>0.91666666666666663</v>
      </c>
      <c r="C8" s="112" t="s">
        <v>118</v>
      </c>
      <c r="D8" s="113">
        <v>0</v>
      </c>
      <c r="E8" s="113" t="s">
        <v>1</v>
      </c>
      <c r="F8" s="113">
        <v>1</v>
      </c>
      <c r="G8" s="112" t="s">
        <v>119</v>
      </c>
      <c r="H8" s="52"/>
      <c r="R8" s="8" t="str">
        <f t="shared" si="0"/>
        <v>Escócia</v>
      </c>
      <c r="S8" s="9">
        <f t="shared" si="1"/>
        <v>1</v>
      </c>
      <c r="T8" s="9">
        <f t="shared" si="2"/>
        <v>0</v>
      </c>
      <c r="V8" s="2" t="s">
        <v>43</v>
      </c>
      <c r="W8" s="6" t="s">
        <v>44</v>
      </c>
      <c r="AA8" s="45">
        <f>BERNARDO!O8</f>
        <v>3</v>
      </c>
      <c r="AB8" s="45" t="e">
        <f>#REF!</f>
        <v>#REF!</v>
      </c>
      <c r="AC8" s="45" t="e">
        <f>#REF!</f>
        <v>#REF!</v>
      </c>
      <c r="AD8" s="45">
        <f>FERNANDO!O8</f>
        <v>0</v>
      </c>
      <c r="AE8" s="45">
        <f>GABRIEL!O8</f>
        <v>0</v>
      </c>
      <c r="AF8" s="46" t="e">
        <f>#REF!</f>
        <v>#REF!</v>
      </c>
      <c r="AG8" s="45">
        <f>RICARDO!O8</f>
        <v>3</v>
      </c>
      <c r="AH8" s="45">
        <f>MARCIO!O8</f>
        <v>0</v>
      </c>
      <c r="AI8" s="45">
        <f>RENAN!O8</f>
        <v>0</v>
      </c>
      <c r="AJ8" s="45">
        <f>THIAGO!O8</f>
        <v>4</v>
      </c>
      <c r="AK8" s="45">
        <f>MARQUES!O8</f>
        <v>9</v>
      </c>
      <c r="AL8" s="46">
        <f>SOARES!O8</f>
        <v>4</v>
      </c>
      <c r="AM8" s="45">
        <f>GUSTAVO!O8</f>
        <v>4</v>
      </c>
    </row>
    <row r="9" spans="1:39" ht="21" customHeight="1" thickTop="1" thickBot="1" x14ac:dyDescent="0.45">
      <c r="A9" s="110">
        <v>46187</v>
      </c>
      <c r="B9" s="111">
        <v>4.1666666666666664E-2</v>
      </c>
      <c r="C9" s="112" t="s">
        <v>8</v>
      </c>
      <c r="D9" s="113">
        <v>2</v>
      </c>
      <c r="E9" s="113" t="s">
        <v>1</v>
      </c>
      <c r="F9" s="113">
        <v>0</v>
      </c>
      <c r="G9" s="112" t="s">
        <v>121</v>
      </c>
      <c r="H9" s="52"/>
      <c r="I9" s="142" t="s">
        <v>113</v>
      </c>
      <c r="J9" s="143"/>
      <c r="K9" s="143"/>
      <c r="L9" s="143"/>
      <c r="M9" s="143"/>
      <c r="N9" s="143"/>
      <c r="O9" s="143"/>
      <c r="P9" s="144"/>
      <c r="Q9" s="20"/>
      <c r="R9" s="8" t="str">
        <f t="shared" si="0"/>
        <v>Austrália</v>
      </c>
      <c r="S9" s="9">
        <f t="shared" si="1"/>
        <v>2</v>
      </c>
      <c r="T9" s="9">
        <f t="shared" si="2"/>
        <v>0</v>
      </c>
      <c r="AA9" s="45">
        <f>BERNARDO!O9</f>
        <v>0</v>
      </c>
      <c r="AB9" s="45" t="e">
        <f>#REF!</f>
        <v>#REF!</v>
      </c>
      <c r="AC9" s="45" t="e">
        <f>#REF!</f>
        <v>#REF!</v>
      </c>
      <c r="AD9" s="45">
        <f>FERNANDO!O9</f>
        <v>6</v>
      </c>
      <c r="AE9" s="45">
        <f>GABRIEL!O9</f>
        <v>0</v>
      </c>
      <c r="AF9" s="46" t="e">
        <f>#REF!</f>
        <v>#REF!</v>
      </c>
      <c r="AG9" s="45">
        <f>RICARDO!O9</f>
        <v>0</v>
      </c>
      <c r="AH9" s="45">
        <f>MARCIO!O9</f>
        <v>0</v>
      </c>
      <c r="AI9" s="45">
        <f>RENAN!O9</f>
        <v>0</v>
      </c>
      <c r="AJ9" s="45">
        <f>THIAGO!O9</f>
        <v>0</v>
      </c>
      <c r="AK9" s="45">
        <f>MARQUES!O9</f>
        <v>0</v>
      </c>
      <c r="AL9" s="46">
        <f>SOARES!O9</f>
        <v>0</v>
      </c>
      <c r="AM9" s="45">
        <f>GUSTAVO!O9</f>
        <v>0</v>
      </c>
    </row>
    <row r="10" spans="1:39" ht="22.2" thickTop="1" thickBot="1" x14ac:dyDescent="0.45">
      <c r="A10" s="110">
        <v>46187</v>
      </c>
      <c r="B10" s="111">
        <v>0.58333333333333337</v>
      </c>
      <c r="C10" s="112" t="s">
        <v>12</v>
      </c>
      <c r="D10" s="113">
        <v>7</v>
      </c>
      <c r="E10" s="113" t="s">
        <v>1</v>
      </c>
      <c r="F10" s="113">
        <v>1</v>
      </c>
      <c r="G10" s="112" t="s">
        <v>122</v>
      </c>
      <c r="H10" s="52"/>
      <c r="I10" s="22" t="s">
        <v>24</v>
      </c>
      <c r="J10" s="23" t="s">
        <v>25</v>
      </c>
      <c r="K10" s="23" t="s">
        <v>51</v>
      </c>
      <c r="L10" s="24">
        <v>9</v>
      </c>
      <c r="M10" s="24">
        <v>6</v>
      </c>
      <c r="N10" s="24">
        <v>4</v>
      </c>
      <c r="O10" s="24">
        <v>3</v>
      </c>
      <c r="P10" s="25">
        <v>0</v>
      </c>
      <c r="Q10" s="21"/>
      <c r="R10" s="8" t="str">
        <f t="shared" si="0"/>
        <v>Alemanha</v>
      </c>
      <c r="S10" s="9">
        <f t="shared" si="1"/>
        <v>7</v>
      </c>
      <c r="T10" s="9">
        <f t="shared" si="2"/>
        <v>1</v>
      </c>
      <c r="V10" s="6" t="s">
        <v>57</v>
      </c>
      <c r="W10" s="2"/>
      <c r="AA10" s="45">
        <f>BERNARDO!O10</f>
        <v>3</v>
      </c>
      <c r="AB10" s="45" t="e">
        <f>#REF!</f>
        <v>#REF!</v>
      </c>
      <c r="AC10" s="45" t="e">
        <f>#REF!</f>
        <v>#REF!</v>
      </c>
      <c r="AD10" s="45">
        <f>FERNANDO!O10</f>
        <v>3</v>
      </c>
      <c r="AE10" s="45">
        <f>GABRIEL!O10</f>
        <v>3</v>
      </c>
      <c r="AF10" s="46" t="e">
        <f>#REF!</f>
        <v>#REF!</v>
      </c>
      <c r="AG10" s="45">
        <f>RICARDO!O10</f>
        <v>3</v>
      </c>
      <c r="AH10" s="45">
        <f>MARCIO!O10</f>
        <v>3</v>
      </c>
      <c r="AI10" s="45">
        <f>RENAN!O10</f>
        <v>3</v>
      </c>
      <c r="AJ10" s="45">
        <f>THIAGO!O10</f>
        <v>3</v>
      </c>
      <c r="AK10" s="45">
        <f>MARQUES!O10</f>
        <v>3</v>
      </c>
      <c r="AL10" s="46">
        <f>SOARES!O10</f>
        <v>3</v>
      </c>
      <c r="AM10" s="45">
        <f>GUSTAVO!O10</f>
        <v>3</v>
      </c>
    </row>
    <row r="11" spans="1:39" ht="21.6" thickTop="1" x14ac:dyDescent="0.4">
      <c r="A11" s="110">
        <v>46187</v>
      </c>
      <c r="B11" s="111">
        <v>0.70833333333333337</v>
      </c>
      <c r="C11" s="112" t="s">
        <v>80</v>
      </c>
      <c r="D11" s="113">
        <v>2</v>
      </c>
      <c r="E11" s="113" t="s">
        <v>1</v>
      </c>
      <c r="F11" s="113">
        <v>2</v>
      </c>
      <c r="G11" s="112" t="s">
        <v>19</v>
      </c>
      <c r="H11" s="53">
        <f t="shared" ref="H11:H15" si="3">(K11*10000+L11*1000+M11*100+N11*10+O11*1)</f>
        <v>1114495</v>
      </c>
      <c r="I11" s="26">
        <f t="shared" ref="I11:I20" si="4">_xlfn.RANK.EQ(H11,$H$11:$H$20)</f>
        <v>5</v>
      </c>
      <c r="J11" s="27" t="s">
        <v>21</v>
      </c>
      <c r="K11" s="27">
        <f>SUM(BERNARDO!$O$2:$O$65)</f>
        <v>111</v>
      </c>
      <c r="L11" s="28">
        <f>COUNTIF(BERNARDO!$O$2:'BERNARDO'!$O$70,"9")</f>
        <v>4</v>
      </c>
      <c r="M11" s="28">
        <f>COUNTIF(BERNARDO!$O$2:'BERNARDO'!$O$70,"6")</f>
        <v>4</v>
      </c>
      <c r="N11" s="28">
        <f>COUNTIF(BERNARDO!$O$2:'BERNARDO'!$O$70,"4")</f>
        <v>9</v>
      </c>
      <c r="O11" s="28">
        <f>COUNTIF(BERNARDO!$O$2:'BERNARDO'!$O$70,"3")</f>
        <v>5</v>
      </c>
      <c r="P11" s="29">
        <f>COUNTIF(BERNARDO!$O$2:'BERNARDO'!$O$70,"0")</f>
        <v>22</v>
      </c>
      <c r="Q11" s="21">
        <f t="shared" ref="Q11:Q15" si="5">L11*9+M11*6+N11*4+O11*3</f>
        <v>111</v>
      </c>
      <c r="R11" s="8" t="str">
        <f t="shared" si="0"/>
        <v>EMPATE</v>
      </c>
      <c r="S11" s="9">
        <f t="shared" si="1"/>
        <v>2</v>
      </c>
      <c r="T11" s="9">
        <f t="shared" si="2"/>
        <v>2</v>
      </c>
      <c r="V11" s="6" t="s">
        <v>52</v>
      </c>
      <c r="W11" s="2"/>
      <c r="AA11" s="45">
        <f>BERNARDO!O11</f>
        <v>0</v>
      </c>
      <c r="AB11" s="45" t="e">
        <f>#REF!</f>
        <v>#REF!</v>
      </c>
      <c r="AC11" s="45" t="e">
        <f>#REF!</f>
        <v>#REF!</v>
      </c>
      <c r="AD11" s="45">
        <f>FERNANDO!O11</f>
        <v>0</v>
      </c>
      <c r="AE11" s="45">
        <f>GABRIEL!O11</f>
        <v>0</v>
      </c>
      <c r="AF11" s="46" t="e">
        <f>#REF!</f>
        <v>#REF!</v>
      </c>
      <c r="AG11" s="45">
        <f>RICARDO!O11</f>
        <v>0</v>
      </c>
      <c r="AH11" s="45">
        <f>MARCIO!O11</f>
        <v>0</v>
      </c>
      <c r="AI11" s="45">
        <f>RENAN!O11</f>
        <v>0</v>
      </c>
      <c r="AJ11" s="45">
        <f>THIAGO!O11</f>
        <v>0</v>
      </c>
      <c r="AK11" s="45">
        <f>MARQUES!O11</f>
        <v>9</v>
      </c>
      <c r="AL11" s="46">
        <f>SOARES!O11</f>
        <v>6</v>
      </c>
      <c r="AM11" s="45">
        <f>GUSTAVO!O11</f>
        <v>0</v>
      </c>
    </row>
    <row r="12" spans="1:39" ht="21" x14ac:dyDescent="0.4">
      <c r="A12" s="110">
        <v>46187</v>
      </c>
      <c r="B12" s="111">
        <v>0.83333333333333337</v>
      </c>
      <c r="C12" s="112" t="s">
        <v>123</v>
      </c>
      <c r="D12" s="113">
        <v>1</v>
      </c>
      <c r="E12" s="113" t="s">
        <v>1</v>
      </c>
      <c r="F12" s="113">
        <v>0</v>
      </c>
      <c r="G12" s="112" t="s">
        <v>107</v>
      </c>
      <c r="H12" s="53">
        <f>(K12*10000+L12*1000+M12*100+N12*10+O12*1)</f>
        <v>1185379</v>
      </c>
      <c r="I12" s="30">
        <f t="shared" si="4"/>
        <v>4</v>
      </c>
      <c r="J12" s="7" t="s">
        <v>96</v>
      </c>
      <c r="K12" s="7">
        <f>SUM(THIAGO!$O$2:$O$70)</f>
        <v>118</v>
      </c>
      <c r="L12" s="11">
        <f>COUNTIF(THIAGO!$O$2:'THIAGO'!$O$70,"9")</f>
        <v>5</v>
      </c>
      <c r="M12" s="11">
        <f>COUNTIF(THIAGO!$O$2:'THIAGO'!$O$70,"6")</f>
        <v>3</v>
      </c>
      <c r="N12" s="11">
        <f>COUNTIF(THIAGO!$O$2:'THIAGO'!$O$70,"4")</f>
        <v>7</v>
      </c>
      <c r="O12" s="11">
        <f>COUNTIF(THIAGO!$O$2:'THIAGO'!$O$70,"3")</f>
        <v>9</v>
      </c>
      <c r="P12" s="31">
        <f>COUNTIF(THIAGO!$O$2:'THIAGO'!$O$70,"0")</f>
        <v>20</v>
      </c>
      <c r="Q12" s="21">
        <f>L12*9+M12*6+N12*4+O12*3</f>
        <v>118</v>
      </c>
      <c r="R12" s="8" t="str">
        <f t="shared" si="0"/>
        <v>Costa do Marfim</v>
      </c>
      <c r="S12" s="9">
        <f t="shared" si="1"/>
        <v>1</v>
      </c>
      <c r="T12" s="9">
        <f t="shared" si="2"/>
        <v>0</v>
      </c>
      <c r="V12" s="6" t="s">
        <v>53</v>
      </c>
      <c r="W12" s="2"/>
      <c r="AA12" s="45">
        <f>BERNARDO!O12</f>
        <v>0</v>
      </c>
      <c r="AB12" s="45" t="e">
        <f>#REF!</f>
        <v>#REF!</v>
      </c>
      <c r="AC12" s="45" t="e">
        <f>#REF!</f>
        <v>#REF!</v>
      </c>
      <c r="AD12" s="45">
        <f>FERNANDO!O12</f>
        <v>0</v>
      </c>
      <c r="AE12" s="45">
        <f>GABRIEL!O12</f>
        <v>0</v>
      </c>
      <c r="AF12" s="46" t="e">
        <f>#REF!</f>
        <v>#REF!</v>
      </c>
      <c r="AG12" s="45">
        <f>RICARDO!O12</f>
        <v>0</v>
      </c>
      <c r="AH12" s="45">
        <f>MARCIO!O12</f>
        <v>3</v>
      </c>
      <c r="AI12" s="45">
        <f>RENAN!O12</f>
        <v>0</v>
      </c>
      <c r="AJ12" s="45">
        <f>THIAGO!O12</f>
        <v>0</v>
      </c>
      <c r="AK12" s="45">
        <f>MARQUES!O12</f>
        <v>0</v>
      </c>
      <c r="AL12" s="46">
        <f>SOARES!O12</f>
        <v>0</v>
      </c>
      <c r="AM12" s="45">
        <f>GUSTAVO!O12</f>
        <v>0</v>
      </c>
    </row>
    <row r="13" spans="1:39" ht="21" x14ac:dyDescent="0.4">
      <c r="A13" s="110">
        <v>46187</v>
      </c>
      <c r="B13" s="111">
        <v>0.95833333333333337</v>
      </c>
      <c r="C13" s="112" t="s">
        <v>14</v>
      </c>
      <c r="D13" s="113">
        <v>5</v>
      </c>
      <c r="E13" s="113" t="s">
        <v>1</v>
      </c>
      <c r="F13" s="113">
        <v>1</v>
      </c>
      <c r="G13" s="112" t="s">
        <v>17</v>
      </c>
      <c r="H13" s="53">
        <f t="shared" si="3"/>
        <v>1012391</v>
      </c>
      <c r="I13" s="30">
        <f t="shared" si="4"/>
        <v>7</v>
      </c>
      <c r="J13" s="7" t="s">
        <v>114</v>
      </c>
      <c r="K13" s="7">
        <f>SUM(RICARDO!$O$2:$O$70)</f>
        <v>101</v>
      </c>
      <c r="L13" s="11">
        <f>COUNTIF(RICARDO!$O$2:'RICARDO'!$O$70,"9")</f>
        <v>2</v>
      </c>
      <c r="M13" s="11">
        <f>COUNTIF(RICARDO!$O$2:'RICARDO'!$O$70,"6")</f>
        <v>3</v>
      </c>
      <c r="N13" s="11">
        <f>COUNTIF(RICARDO!$O$2:'RICARDO'!$O$70,"4")</f>
        <v>8</v>
      </c>
      <c r="O13" s="11">
        <f>COUNTIF(RICARDO!$O$2:'RICARDO'!$O$70,"3")</f>
        <v>11</v>
      </c>
      <c r="P13" s="31">
        <f>COUNTIF(RICARDO!$O$2:'RICARDO'!$O$70,"0")</f>
        <v>20</v>
      </c>
      <c r="Q13" s="21">
        <f t="shared" si="5"/>
        <v>101</v>
      </c>
      <c r="R13" s="8" t="str">
        <f t="shared" si="0"/>
        <v>Suécia</v>
      </c>
      <c r="S13" s="9">
        <f t="shared" si="1"/>
        <v>5</v>
      </c>
      <c r="T13" s="9">
        <f t="shared" si="2"/>
        <v>1</v>
      </c>
      <c r="V13" s="6" t="s">
        <v>54</v>
      </c>
      <c r="W13" s="2"/>
      <c r="AA13" s="45">
        <f>BERNARDO!O13</f>
        <v>4</v>
      </c>
      <c r="AB13" s="45" t="e">
        <f>#REF!</f>
        <v>#REF!</v>
      </c>
      <c r="AC13" s="45" t="e">
        <f>#REF!</f>
        <v>#REF!</v>
      </c>
      <c r="AD13" s="45">
        <f>FERNANDO!O13</f>
        <v>4</v>
      </c>
      <c r="AE13" s="45">
        <f>GABRIEL!O13</f>
        <v>3</v>
      </c>
      <c r="AF13" s="46" t="e">
        <f>#REF!</f>
        <v>#REF!</v>
      </c>
      <c r="AG13" s="45">
        <f>RICARDO!O13</f>
        <v>3</v>
      </c>
      <c r="AH13" s="45">
        <f>MARCIO!O13</f>
        <v>4</v>
      </c>
      <c r="AI13" s="45">
        <f>RENAN!O13</f>
        <v>0</v>
      </c>
      <c r="AJ13" s="45">
        <f>THIAGO!O13</f>
        <v>3</v>
      </c>
      <c r="AK13" s="45">
        <f>MARQUES!O13</f>
        <v>0</v>
      </c>
      <c r="AL13" s="46">
        <f>SOARES!O13</f>
        <v>3</v>
      </c>
      <c r="AM13" s="45">
        <f>GUSTAVO!O13</f>
        <v>3</v>
      </c>
    </row>
    <row r="14" spans="1:39" ht="21" x14ac:dyDescent="0.4">
      <c r="A14" s="110">
        <v>46188</v>
      </c>
      <c r="B14" s="111">
        <v>0.54166666666666663</v>
      </c>
      <c r="C14" s="112" t="s">
        <v>6</v>
      </c>
      <c r="D14" s="113">
        <v>0</v>
      </c>
      <c r="E14" s="113" t="s">
        <v>1</v>
      </c>
      <c r="F14" s="113">
        <v>0</v>
      </c>
      <c r="G14" s="112" t="s">
        <v>126</v>
      </c>
      <c r="H14" s="53">
        <f t="shared" si="3"/>
        <v>963369</v>
      </c>
      <c r="I14" s="30">
        <f t="shared" si="4"/>
        <v>8</v>
      </c>
      <c r="J14" s="7" t="s">
        <v>94</v>
      </c>
      <c r="K14" s="7">
        <f>SUM(FERNANDO!$O$2:$O$70)</f>
        <v>96</v>
      </c>
      <c r="L14" s="11">
        <f>COUNTIF(FERNANDO!$O$2:'FERNANDO'!$O$70,"9")</f>
        <v>3</v>
      </c>
      <c r="M14" s="11">
        <f>COUNTIF(FERNANDO!$O$2:'FERNANDO'!$O$70,"6")</f>
        <v>3</v>
      </c>
      <c r="N14" s="11">
        <f>COUNTIF(FERNANDO!$O$2:'FERNANDO'!$O$70,"4")</f>
        <v>6</v>
      </c>
      <c r="O14" s="11">
        <f>COUNTIF(FERNANDO!$O$2:'FERNANDO'!$O$70,"3")</f>
        <v>9</v>
      </c>
      <c r="P14" s="31">
        <f>COUNTIF(FERNANDO!$O$2:'FERNANDO'!$O$70,"0")</f>
        <v>23</v>
      </c>
      <c r="Q14" s="21">
        <f t="shared" si="5"/>
        <v>96</v>
      </c>
      <c r="R14" s="8" t="str">
        <f t="shared" si="0"/>
        <v>EMPATE</v>
      </c>
      <c r="S14" s="9">
        <f t="shared" si="1"/>
        <v>0</v>
      </c>
      <c r="T14" s="9">
        <f t="shared" si="2"/>
        <v>0</v>
      </c>
      <c r="V14" s="6" t="s">
        <v>55</v>
      </c>
      <c r="W14" s="2"/>
      <c r="AA14" s="45">
        <f>BERNARDO!O14</f>
        <v>0</v>
      </c>
      <c r="AB14" s="45" t="e">
        <f>#REF!</f>
        <v>#REF!</v>
      </c>
      <c r="AC14" s="45" t="e">
        <f>#REF!</f>
        <v>#REF!</v>
      </c>
      <c r="AD14" s="45">
        <f>FERNANDO!O14</f>
        <v>0</v>
      </c>
      <c r="AE14" s="45">
        <f>GABRIEL!O14</f>
        <v>0</v>
      </c>
      <c r="AF14" s="46" t="e">
        <f>#REF!</f>
        <v>#REF!</v>
      </c>
      <c r="AG14" s="45">
        <f>RICARDO!O14</f>
        <v>0</v>
      </c>
      <c r="AH14" s="45">
        <f>MARCIO!O14</f>
        <v>0</v>
      </c>
      <c r="AI14" s="45">
        <f>RENAN!O14</f>
        <v>0</v>
      </c>
      <c r="AJ14" s="45">
        <f>THIAGO!O14</f>
        <v>0</v>
      </c>
      <c r="AK14" s="45">
        <f>MARQUES!O14</f>
        <v>0</v>
      </c>
      <c r="AL14" s="46">
        <f>SOARES!O14</f>
        <v>0</v>
      </c>
      <c r="AM14" s="45">
        <f>GUSTAVO!O14</f>
        <v>0</v>
      </c>
    </row>
    <row r="15" spans="1:39" ht="21" x14ac:dyDescent="0.4">
      <c r="A15" s="110">
        <v>46188</v>
      </c>
      <c r="B15" s="111">
        <v>0.66666666666666663</v>
      </c>
      <c r="C15" s="112" t="s">
        <v>16</v>
      </c>
      <c r="D15" s="113">
        <v>1</v>
      </c>
      <c r="E15" s="113" t="s">
        <v>1</v>
      </c>
      <c r="F15" s="113">
        <v>1</v>
      </c>
      <c r="G15" s="112" t="s">
        <v>124</v>
      </c>
      <c r="H15" s="53">
        <f t="shared" si="3"/>
        <v>1014261</v>
      </c>
      <c r="I15" s="30">
        <f t="shared" si="4"/>
        <v>6</v>
      </c>
      <c r="J15" s="7" t="s">
        <v>115</v>
      </c>
      <c r="K15" s="7">
        <f>SUM(GUSTAVO!$O$2:$O$70)</f>
        <v>101</v>
      </c>
      <c r="L15" s="11">
        <f>COUNTIF(GUSTAVO!$O$2:'GUSTAVO'!$O$70,"9")</f>
        <v>4</v>
      </c>
      <c r="M15" s="11">
        <f>COUNTIF(GUSTAVO!$O$2:'GUSTAVO'!$O$70,"6")</f>
        <v>2</v>
      </c>
      <c r="N15" s="11">
        <f>COUNTIF(GUSTAVO!$O$2:'GUSTAVO'!$O$70,"4")</f>
        <v>5</v>
      </c>
      <c r="O15" s="11">
        <f>COUNTIF(GUSTAVO!$O$2:'GUSTAVO'!$O$70,"3")</f>
        <v>11</v>
      </c>
      <c r="P15" s="31">
        <f>COUNTIF(GUSTAVO!$O$2:'GUSTAVO'!$O$70,"0")</f>
        <v>22</v>
      </c>
      <c r="Q15" s="21">
        <f t="shared" si="5"/>
        <v>101</v>
      </c>
      <c r="R15" s="8" t="str">
        <f t="shared" si="0"/>
        <v>EMPATE</v>
      </c>
      <c r="S15" s="9">
        <f t="shared" si="1"/>
        <v>1</v>
      </c>
      <c r="T15" s="9">
        <f t="shared" si="2"/>
        <v>1</v>
      </c>
      <c r="V15" s="6" t="s">
        <v>56</v>
      </c>
      <c r="W15" s="19"/>
      <c r="AA15" s="45">
        <f>BERNARDO!O15</f>
        <v>0</v>
      </c>
      <c r="AB15" s="45" t="e">
        <f>#REF!</f>
        <v>#REF!</v>
      </c>
      <c r="AC15" s="45" t="e">
        <f>#REF!</f>
        <v>#REF!</v>
      </c>
      <c r="AD15" s="45">
        <f>FERNANDO!O15</f>
        <v>0</v>
      </c>
      <c r="AE15" s="45">
        <f>GABRIEL!O15</f>
        <v>0</v>
      </c>
      <c r="AF15" s="46" t="e">
        <f>#REF!</f>
        <v>#REF!</v>
      </c>
      <c r="AG15" s="45">
        <f>RICARDO!O15</f>
        <v>0</v>
      </c>
      <c r="AH15" s="45">
        <f>MARCIO!O15</f>
        <v>0</v>
      </c>
      <c r="AI15" s="45">
        <f>RENAN!O15</f>
        <v>0</v>
      </c>
      <c r="AJ15" s="45">
        <f>THIAGO!O15</f>
        <v>0</v>
      </c>
      <c r="AK15" s="45">
        <f>MARQUES!O15</f>
        <v>0</v>
      </c>
      <c r="AL15" s="46">
        <f>SOARES!O15</f>
        <v>0</v>
      </c>
      <c r="AM15" s="45">
        <f>GUSTAVO!O15</f>
        <v>0</v>
      </c>
    </row>
    <row r="16" spans="1:39" ht="21" x14ac:dyDescent="0.4">
      <c r="A16" s="110">
        <v>46188</v>
      </c>
      <c r="B16" s="111">
        <v>0.79166666666666663</v>
      </c>
      <c r="C16" s="112" t="s">
        <v>2</v>
      </c>
      <c r="D16" s="113">
        <v>1</v>
      </c>
      <c r="E16" s="113" t="s">
        <v>1</v>
      </c>
      <c r="F16" s="113">
        <v>1</v>
      </c>
      <c r="G16" s="112" t="s">
        <v>3</v>
      </c>
      <c r="H16" s="53">
        <f>(K16*10000+L16*1000+M16*100+N16*10+O16*1)</f>
        <v>1206146</v>
      </c>
      <c r="I16" s="30">
        <f>_xlfn.RANK.EQ(H16,$H$11:$H$20)</f>
        <v>2</v>
      </c>
      <c r="J16" s="7" t="s">
        <v>22</v>
      </c>
      <c r="K16" s="7">
        <f>SUM(MARCIO!$O$2:$O$70)</f>
        <v>120</v>
      </c>
      <c r="L16" s="11">
        <f>COUNTIF(MARCIO!$O$2:'MARCIO'!$O$70,"9")</f>
        <v>6</v>
      </c>
      <c r="M16" s="11">
        <f>COUNTIF(MARCIO!$O$2:'MARCIO'!$O$70,"6")</f>
        <v>1</v>
      </c>
      <c r="N16" s="11">
        <f>COUNTIF(MARCIO!$O$2:'MARCIO'!$O$70,"4")</f>
        <v>3</v>
      </c>
      <c r="O16" s="11">
        <f>COUNTIF(MARCIO!$O$2:'MARCIO'!$O$70,"3")</f>
        <v>16</v>
      </c>
      <c r="P16" s="31">
        <f>COUNTIF(MARCIO!$O$2:'MARCIO'!$O$70,"0")</f>
        <v>18</v>
      </c>
      <c r="Q16" s="21">
        <f>L16*9+M16*6+N16*4+O16*3</f>
        <v>120</v>
      </c>
      <c r="R16" s="8" t="str">
        <f t="shared" si="0"/>
        <v>EMPATE</v>
      </c>
      <c r="S16" s="9">
        <f t="shared" si="1"/>
        <v>1</v>
      </c>
      <c r="T16" s="9">
        <f t="shared" si="2"/>
        <v>1</v>
      </c>
      <c r="AA16" s="45">
        <f>BERNARDO!O16</f>
        <v>0</v>
      </c>
      <c r="AB16" s="45" t="e">
        <f>#REF!</f>
        <v>#REF!</v>
      </c>
      <c r="AC16" s="45" t="e">
        <f>#REF!</f>
        <v>#REF!</v>
      </c>
      <c r="AD16" s="45">
        <f>FERNANDO!O16</f>
        <v>0</v>
      </c>
      <c r="AE16" s="45">
        <f>GABRIEL!O16</f>
        <v>0</v>
      </c>
      <c r="AF16" s="46" t="e">
        <f>#REF!</f>
        <v>#REF!</v>
      </c>
      <c r="AG16" s="45">
        <f>RICARDO!O16</f>
        <v>0</v>
      </c>
      <c r="AH16" s="45">
        <f>MARCIO!O16</f>
        <v>9</v>
      </c>
      <c r="AI16" s="45">
        <f>RENAN!O16</f>
        <v>0</v>
      </c>
      <c r="AJ16" s="45">
        <f>THIAGO!O16</f>
        <v>0</v>
      </c>
      <c r="AK16" s="45">
        <f>MARQUES!O16</f>
        <v>0</v>
      </c>
      <c r="AL16" s="46">
        <f>SOARES!O16</f>
        <v>0</v>
      </c>
      <c r="AM16" s="45">
        <f>GUSTAVO!O16</f>
        <v>0</v>
      </c>
    </row>
    <row r="17" spans="1:39" ht="21" x14ac:dyDescent="0.4">
      <c r="A17" s="110">
        <v>46188</v>
      </c>
      <c r="B17" s="111">
        <v>0.91666666666666663</v>
      </c>
      <c r="C17" s="112" t="s">
        <v>108</v>
      </c>
      <c r="D17" s="113">
        <v>2</v>
      </c>
      <c r="E17" s="113" t="s">
        <v>1</v>
      </c>
      <c r="F17" s="113">
        <v>2</v>
      </c>
      <c r="G17" s="112" t="s">
        <v>125</v>
      </c>
      <c r="H17" s="53">
        <f>(K17*10000+L17*1000+M17*100+N17*10+O17*1)</f>
        <v>853080</v>
      </c>
      <c r="I17" s="30">
        <f t="shared" si="4"/>
        <v>9</v>
      </c>
      <c r="J17" s="7" t="s">
        <v>95</v>
      </c>
      <c r="K17" s="7">
        <f>SUM(GABRIEL!$O$2:$O$70)</f>
        <v>85</v>
      </c>
      <c r="L17" s="11">
        <f>COUNTIF(GABRIEL!$O$2:'GABRIEL'!$O$70,"9")</f>
        <v>3</v>
      </c>
      <c r="M17" s="11">
        <f>COUNTIF(GABRIEL!$O$2:'GABRIEL'!$O$70,"6")</f>
        <v>0</v>
      </c>
      <c r="N17" s="11">
        <f>COUNTIF(GABRIEL!$O$2:'GABRIEL'!$O$70,"4")</f>
        <v>7</v>
      </c>
      <c r="O17" s="11">
        <f>COUNTIF(GABRIEL!$O$2:'GABRIEL'!$O$70,"3")</f>
        <v>10</v>
      </c>
      <c r="P17" s="31">
        <f>COUNTIF(GABRIEL!$O$2:'GABRIEL'!$O$70,"0")</f>
        <v>24</v>
      </c>
      <c r="Q17" s="21">
        <f>L17*9+M17*6+N17*4+O17*3</f>
        <v>85</v>
      </c>
      <c r="R17" s="8" t="str">
        <f t="shared" si="0"/>
        <v>EMPATE</v>
      </c>
      <c r="S17" s="9">
        <f t="shared" si="1"/>
        <v>2</v>
      </c>
      <c r="T17" s="9">
        <f t="shared" si="2"/>
        <v>2</v>
      </c>
      <c r="AA17" s="45">
        <f>BERNARDO!O17</f>
        <v>6</v>
      </c>
      <c r="AB17" s="45" t="e">
        <f>#REF!</f>
        <v>#REF!</v>
      </c>
      <c r="AC17" s="45" t="e">
        <f>#REF!</f>
        <v>#REF!</v>
      </c>
      <c r="AD17" s="45">
        <f>FERNANDO!O17</f>
        <v>6</v>
      </c>
      <c r="AE17" s="45">
        <f>GABRIEL!O17</f>
        <v>0</v>
      </c>
      <c r="AF17" s="46" t="e">
        <f>#REF!</f>
        <v>#REF!</v>
      </c>
      <c r="AG17" s="45">
        <f>RICARDO!O17</f>
        <v>0</v>
      </c>
      <c r="AH17" s="45">
        <f>MARCIO!O17</f>
        <v>0</v>
      </c>
      <c r="AI17" s="45">
        <f>RENAN!O17</f>
        <v>6</v>
      </c>
      <c r="AJ17" s="45">
        <f>THIAGO!O17</f>
        <v>0</v>
      </c>
      <c r="AK17" s="45">
        <f>MARQUES!O17</f>
        <v>0</v>
      </c>
      <c r="AL17" s="46">
        <f>SOARES!O17</f>
        <v>0</v>
      </c>
      <c r="AM17" s="45">
        <f>GUSTAVO!O17</f>
        <v>0</v>
      </c>
    </row>
    <row r="18" spans="1:39" ht="21" x14ac:dyDescent="0.4">
      <c r="A18" s="110">
        <v>46189</v>
      </c>
      <c r="B18" s="111">
        <v>0.66666666666666663</v>
      </c>
      <c r="C18" s="112" t="s">
        <v>7</v>
      </c>
      <c r="D18" s="113">
        <v>3</v>
      </c>
      <c r="E18" s="113" t="s">
        <v>1</v>
      </c>
      <c r="F18" s="113">
        <v>1</v>
      </c>
      <c r="G18" s="112" t="s">
        <v>20</v>
      </c>
      <c r="H18" s="53">
        <f>(K18*10000+L18*1000+M18*100+N18*10+O18*1)</f>
        <v>831486</v>
      </c>
      <c r="I18" s="30">
        <f t="shared" si="4"/>
        <v>10</v>
      </c>
      <c r="J18" s="7" t="s">
        <v>23</v>
      </c>
      <c r="K18" s="7">
        <f>SUM(RENAN!$O$2:$O$70)</f>
        <v>83</v>
      </c>
      <c r="L18" s="11">
        <f>COUNTIF(RENAN!$O$2:'RENAN'!$O$70,"9")</f>
        <v>1</v>
      </c>
      <c r="M18" s="11">
        <f>COUNTIF(RENAN!$O$2:'RENAN'!$O$70,"6")</f>
        <v>4</v>
      </c>
      <c r="N18" s="11">
        <f>COUNTIF(RENAN!$O$2:'RENAN'!$O$70,"4")</f>
        <v>8</v>
      </c>
      <c r="O18" s="11">
        <f>COUNTIF(RENAN!$O$2:'RENAN'!$O$70,"3")</f>
        <v>6</v>
      </c>
      <c r="P18" s="31">
        <f>COUNTIF(RENAN!$O$2:'RENAN'!$O$70,"0")</f>
        <v>25</v>
      </c>
      <c r="Q18" s="21">
        <f>L18*9+M18*6+N18*4+O18*3</f>
        <v>83</v>
      </c>
      <c r="R18" s="12" t="str">
        <f t="shared" si="0"/>
        <v>França</v>
      </c>
      <c r="S18" s="9">
        <f t="shared" si="1"/>
        <v>3</v>
      </c>
      <c r="T18" s="9">
        <f t="shared" si="2"/>
        <v>1</v>
      </c>
      <c r="AA18" s="45">
        <f>BERNARDO!O18</f>
        <v>9</v>
      </c>
      <c r="AB18" s="45" t="e">
        <f>#REF!</f>
        <v>#REF!</v>
      </c>
      <c r="AC18" s="45" t="e">
        <f>#REF!</f>
        <v>#REF!</v>
      </c>
      <c r="AD18" s="45">
        <f>FERNANDO!O18</f>
        <v>3</v>
      </c>
      <c r="AE18" s="45">
        <f>GABRIEL!O18</f>
        <v>4</v>
      </c>
      <c r="AF18" s="46" t="e">
        <f>#REF!</f>
        <v>#REF!</v>
      </c>
      <c r="AG18" s="45">
        <f>RICARDO!O18</f>
        <v>9</v>
      </c>
      <c r="AH18" s="45">
        <f>MARCIO!O18</f>
        <v>9</v>
      </c>
      <c r="AI18" s="45">
        <f>RENAN!O18</f>
        <v>4</v>
      </c>
      <c r="AJ18" s="45">
        <f>THIAGO!O18</f>
        <v>9</v>
      </c>
      <c r="AK18" s="45">
        <f>MARQUES!O18</f>
        <v>6</v>
      </c>
      <c r="AL18" s="46">
        <f>SOARES!O18</f>
        <v>4</v>
      </c>
      <c r="AM18" s="45">
        <f>GUSTAVO!O18</f>
        <v>3</v>
      </c>
    </row>
    <row r="19" spans="1:39" ht="21" x14ac:dyDescent="0.4">
      <c r="A19" s="110">
        <v>46189</v>
      </c>
      <c r="B19" s="111">
        <v>0.79166666666666663</v>
      </c>
      <c r="C19" s="112" t="s">
        <v>127</v>
      </c>
      <c r="D19" s="113">
        <v>1</v>
      </c>
      <c r="E19" s="113" t="s">
        <v>1</v>
      </c>
      <c r="F19" s="113">
        <v>4</v>
      </c>
      <c r="G19" s="112" t="s">
        <v>128</v>
      </c>
      <c r="H19" s="53">
        <f>(K19*10000+L19*1000+M19*100+N19*10+O19*1)</f>
        <v>1196261</v>
      </c>
      <c r="I19" s="30">
        <f t="shared" si="4"/>
        <v>3</v>
      </c>
      <c r="J19" s="7" t="s">
        <v>98</v>
      </c>
      <c r="K19" s="7">
        <f>SUM(SOARES!$O$2:$O$70)</f>
        <v>119</v>
      </c>
      <c r="L19" s="11">
        <f>COUNTIF(SOARES!$O$2:'SOARES'!$O$70,"9")</f>
        <v>6</v>
      </c>
      <c r="M19" s="11">
        <f>COUNTIF(SOARES!$O$2:'SOARES'!$O$70,"6")</f>
        <v>2</v>
      </c>
      <c r="N19" s="11">
        <f>COUNTIF(SOARES!$O$2:'SOARES'!$O$70,"4")</f>
        <v>5</v>
      </c>
      <c r="O19" s="11">
        <f>COUNTIF(SOARES!$O$2:'SOARES'!$O$70,"3")</f>
        <v>11</v>
      </c>
      <c r="P19" s="31">
        <f>COUNTIF(SOARES!$O$2:'SOARES'!$O$70,"0")</f>
        <v>20</v>
      </c>
      <c r="Q19" s="21">
        <f>L19*9+M19*6+N19*4+O19*3</f>
        <v>119</v>
      </c>
      <c r="R19" s="12" t="str">
        <f t="shared" si="0"/>
        <v>Noruega</v>
      </c>
      <c r="S19" s="9">
        <f t="shared" si="1"/>
        <v>4</v>
      </c>
      <c r="T19" s="9">
        <f t="shared" si="2"/>
        <v>1</v>
      </c>
      <c r="AA19" s="45">
        <f>BERNARDO!O19</f>
        <v>0</v>
      </c>
      <c r="AB19" s="45" t="e">
        <f>#REF!</f>
        <v>#REF!</v>
      </c>
      <c r="AC19" s="45" t="e">
        <f>#REF!</f>
        <v>#REF!</v>
      </c>
      <c r="AD19" s="45">
        <f>FERNANDO!O19</f>
        <v>0</v>
      </c>
      <c r="AE19" s="45">
        <f>GABRIEL!O19</f>
        <v>0</v>
      </c>
      <c r="AF19" s="46" t="e">
        <f>#REF!</f>
        <v>#REF!</v>
      </c>
      <c r="AG19" s="45">
        <f>RICARDO!O19</f>
        <v>4</v>
      </c>
      <c r="AH19" s="45">
        <f>MARCIO!O19</f>
        <v>6</v>
      </c>
      <c r="AI19" s="45">
        <f>RENAN!O19</f>
        <v>3</v>
      </c>
      <c r="AJ19" s="45">
        <f>THIAGO!O19</f>
        <v>3</v>
      </c>
      <c r="AK19" s="45">
        <f>MARQUES!O19</f>
        <v>3</v>
      </c>
      <c r="AL19" s="46">
        <f>SOARES!O19</f>
        <v>3</v>
      </c>
      <c r="AM19" s="45">
        <f>GUSTAVO!O19</f>
        <v>4</v>
      </c>
    </row>
    <row r="20" spans="1:39" ht="21.6" thickBot="1" x14ac:dyDescent="0.45">
      <c r="A20" s="110">
        <v>46189</v>
      </c>
      <c r="B20" s="111">
        <v>0.91666666666666663</v>
      </c>
      <c r="C20" s="112" t="s">
        <v>9</v>
      </c>
      <c r="D20" s="113">
        <v>3</v>
      </c>
      <c r="E20" s="113" t="s">
        <v>1</v>
      </c>
      <c r="F20" s="113">
        <v>0</v>
      </c>
      <c r="G20" s="112" t="s">
        <v>129</v>
      </c>
      <c r="H20" s="53">
        <f>(K20*10000+L20*1000+M20*100+N20*10+O20*1)</f>
        <v>1294573</v>
      </c>
      <c r="I20" s="32">
        <f t="shared" si="4"/>
        <v>1</v>
      </c>
      <c r="J20" s="33" t="s">
        <v>97</v>
      </c>
      <c r="K20" s="33">
        <f>SUM(MARQUES!$O$2:$O$70)</f>
        <v>129</v>
      </c>
      <c r="L20" s="34">
        <f>COUNTIF(MARQUES!$O$2:'MARQUES'!$O$70,"9")</f>
        <v>4</v>
      </c>
      <c r="M20" s="34">
        <f>COUNTIF(MARQUES!$O$2:'MARQUES'!$O$70,"6")</f>
        <v>5</v>
      </c>
      <c r="N20" s="34">
        <f>COUNTIF(MARQUES!$O$2:'MARQUES'!$O$70,"4")</f>
        <v>6</v>
      </c>
      <c r="O20" s="34">
        <f>COUNTIF(MARQUES!$O$2:'MARQUES'!$O$70,"3")</f>
        <v>13</v>
      </c>
      <c r="P20" s="35">
        <f>COUNTIF(MARQUES!$O$2:'MARQUES'!$O$70,"0")</f>
        <v>16</v>
      </c>
      <c r="Q20" s="21">
        <f>L20*9+M20*6+N20*4+O20*3</f>
        <v>129</v>
      </c>
      <c r="R20" s="12" t="str">
        <f t="shared" si="0"/>
        <v>Argentina</v>
      </c>
      <c r="S20" s="9">
        <f t="shared" si="1"/>
        <v>3</v>
      </c>
      <c r="T20" s="9">
        <f t="shared" si="2"/>
        <v>0</v>
      </c>
      <c r="AA20" s="45">
        <f>BERNARDO!O20</f>
        <v>6</v>
      </c>
      <c r="AB20" s="45" t="e">
        <f>#REF!</f>
        <v>#REF!</v>
      </c>
      <c r="AC20" s="45" t="e">
        <f>#REF!</f>
        <v>#REF!</v>
      </c>
      <c r="AD20" s="45">
        <f>FERNANDO!O20</f>
        <v>6</v>
      </c>
      <c r="AE20" s="45">
        <f>GABRIEL!O20</f>
        <v>9</v>
      </c>
      <c r="AF20" s="46" t="e">
        <f>#REF!</f>
        <v>#REF!</v>
      </c>
      <c r="AG20" s="45">
        <f>RICARDO!O20</f>
        <v>9</v>
      </c>
      <c r="AH20" s="45">
        <f>MARCIO!O20</f>
        <v>9</v>
      </c>
      <c r="AI20" s="45">
        <f>RENAN!O20</f>
        <v>3</v>
      </c>
      <c r="AJ20" s="45">
        <f>THIAGO!O20</f>
        <v>9</v>
      </c>
      <c r="AK20" s="45">
        <f>MARQUES!O20</f>
        <v>4</v>
      </c>
      <c r="AL20" s="46">
        <f>SOARES!O20</f>
        <v>9</v>
      </c>
      <c r="AM20" s="45">
        <f>GUSTAVO!O20</f>
        <v>9</v>
      </c>
    </row>
    <row r="21" spans="1:39" ht="16.8" thickTop="1" thickBot="1" x14ac:dyDescent="0.35">
      <c r="A21" s="110">
        <v>46190</v>
      </c>
      <c r="B21" s="111">
        <v>4.1666666666666664E-2</v>
      </c>
      <c r="C21" s="112" t="s">
        <v>130</v>
      </c>
      <c r="D21" s="113">
        <v>3</v>
      </c>
      <c r="E21" s="113" t="s">
        <v>1</v>
      </c>
      <c r="F21" s="113">
        <v>1</v>
      </c>
      <c r="G21" s="112" t="s">
        <v>131</v>
      </c>
      <c r="H21" s="52"/>
      <c r="R21" s="12" t="str">
        <f t="shared" si="0"/>
        <v>Áustria</v>
      </c>
      <c r="S21" s="9">
        <f t="shared" si="1"/>
        <v>3</v>
      </c>
      <c r="T21" s="9">
        <f t="shared" si="2"/>
        <v>1</v>
      </c>
      <c r="AA21" s="45">
        <f>BERNARDO!O21</f>
        <v>0</v>
      </c>
      <c r="AB21" s="45" t="e">
        <f>#REF!</f>
        <v>#REF!</v>
      </c>
      <c r="AC21" s="45" t="e">
        <f>#REF!</f>
        <v>#REF!</v>
      </c>
      <c r="AD21" s="45">
        <f>FERNANDO!O21</f>
        <v>0</v>
      </c>
      <c r="AE21" s="45">
        <f>GABRIEL!O21</f>
        <v>3</v>
      </c>
      <c r="AF21" s="46" t="e">
        <f>#REF!</f>
        <v>#REF!</v>
      </c>
      <c r="AG21" s="45">
        <f>RICARDO!O21</f>
        <v>3</v>
      </c>
      <c r="AH21" s="45">
        <f>MARCIO!O21</f>
        <v>3</v>
      </c>
      <c r="AI21" s="45">
        <f>RENAN!O21</f>
        <v>3</v>
      </c>
      <c r="AJ21" s="45">
        <f>THIAGO!O21</f>
        <v>3</v>
      </c>
      <c r="AK21" s="45">
        <f>MARQUES!O21</f>
        <v>3</v>
      </c>
      <c r="AL21" s="46">
        <f>SOARES!O21</f>
        <v>3</v>
      </c>
      <c r="AM21" s="45">
        <f>GUSTAVO!O21</f>
        <v>3</v>
      </c>
    </row>
    <row r="22" spans="1:39" ht="22.2" thickTop="1" thickBot="1" x14ac:dyDescent="0.45">
      <c r="A22" s="110">
        <v>46190</v>
      </c>
      <c r="B22" s="111">
        <v>0.58333333333333337</v>
      </c>
      <c r="C22" s="112" t="s">
        <v>5</v>
      </c>
      <c r="D22" s="113">
        <v>1</v>
      </c>
      <c r="E22" s="113" t="s">
        <v>1</v>
      </c>
      <c r="F22" s="113">
        <v>1</v>
      </c>
      <c r="G22" s="112" t="s">
        <v>132</v>
      </c>
      <c r="H22" s="52"/>
      <c r="I22" s="142" t="s">
        <v>113</v>
      </c>
      <c r="J22" s="143"/>
      <c r="K22" s="143"/>
      <c r="L22" s="143"/>
      <c r="M22" s="143"/>
      <c r="N22" s="143"/>
      <c r="O22" s="143"/>
      <c r="P22" s="144"/>
      <c r="R22" s="12" t="str">
        <f t="shared" si="0"/>
        <v>EMPATE</v>
      </c>
      <c r="S22" s="9">
        <f t="shared" si="1"/>
        <v>1</v>
      </c>
      <c r="T22" s="9">
        <f t="shared" si="2"/>
        <v>1</v>
      </c>
      <c r="AA22" s="45">
        <f>BERNARDO!O22</f>
        <v>0</v>
      </c>
      <c r="AB22" s="45" t="e">
        <f>#REF!</f>
        <v>#REF!</v>
      </c>
      <c r="AC22" s="45" t="e">
        <f>#REF!</f>
        <v>#REF!</v>
      </c>
      <c r="AD22" s="45">
        <f>FERNANDO!O22</f>
        <v>0</v>
      </c>
      <c r="AE22" s="45">
        <f>GABRIEL!O22</f>
        <v>0</v>
      </c>
      <c r="AF22" s="46" t="e">
        <f>#REF!</f>
        <v>#REF!</v>
      </c>
      <c r="AG22" s="45">
        <f>RICARDO!O22</f>
        <v>0</v>
      </c>
      <c r="AH22" s="45">
        <f>MARCIO!O22</f>
        <v>0</v>
      </c>
      <c r="AI22" s="45">
        <f>RENAN!O22</f>
        <v>0</v>
      </c>
      <c r="AJ22" s="45">
        <f>THIAGO!O22</f>
        <v>0</v>
      </c>
      <c r="AK22" s="45">
        <f>MARQUES!O22</f>
        <v>0</v>
      </c>
      <c r="AL22" s="46">
        <f>SOARES!O22</f>
        <v>0</v>
      </c>
      <c r="AM22" s="45">
        <f>GUSTAVO!O22</f>
        <v>0</v>
      </c>
    </row>
    <row r="23" spans="1:39" ht="22.2" thickTop="1" thickBot="1" x14ac:dyDescent="0.45">
      <c r="A23" s="110">
        <v>46190</v>
      </c>
      <c r="B23" s="111">
        <v>0.70833333333333337</v>
      </c>
      <c r="C23" s="112" t="s">
        <v>18</v>
      </c>
      <c r="D23" s="113">
        <v>4</v>
      </c>
      <c r="E23" s="113" t="s">
        <v>1</v>
      </c>
      <c r="F23" s="113">
        <v>2</v>
      </c>
      <c r="G23" s="112" t="s">
        <v>10</v>
      </c>
      <c r="H23" s="52"/>
      <c r="I23" s="121" t="s">
        <v>24</v>
      </c>
      <c r="J23" s="122" t="s">
        <v>25</v>
      </c>
      <c r="K23" s="122" t="s">
        <v>51</v>
      </c>
      <c r="L23" s="123">
        <v>9</v>
      </c>
      <c r="M23" s="123">
        <v>6</v>
      </c>
      <c r="N23" s="123">
        <v>4</v>
      </c>
      <c r="O23" s="123">
        <v>3</v>
      </c>
      <c r="P23" s="124">
        <v>0</v>
      </c>
      <c r="R23" s="12" t="str">
        <f t="shared" ref="R23:R70" si="6">IF(D23="","",IF(D23&gt;F23,C23,IF(F23&gt;D23,G23,"EMPATE")))</f>
        <v>Inglaterra</v>
      </c>
      <c r="S23" s="9">
        <f t="shared" ref="S23:S70" si="7">IF(D23="","",IF(D23&gt;F23,D23,IF(F23&gt;D23,F23,D23)))</f>
        <v>4</v>
      </c>
      <c r="T23" s="9">
        <f t="shared" ref="T23:T70" si="8">IF(D23="","",IF(D23&lt;F23,D23,IF(F23&lt;D23,F23,D23)))</f>
        <v>2</v>
      </c>
      <c r="AA23" s="45">
        <f>BERNARDO!O23</f>
        <v>0</v>
      </c>
      <c r="AB23" s="45" t="e">
        <f>#REF!</f>
        <v>#REF!</v>
      </c>
      <c r="AC23" s="45" t="e">
        <f>#REF!</f>
        <v>#REF!</v>
      </c>
      <c r="AD23" s="45">
        <f>FERNANDO!O23</f>
        <v>0</v>
      </c>
      <c r="AE23" s="45">
        <f>GABRIEL!O23</f>
        <v>3</v>
      </c>
      <c r="AF23" s="46" t="e">
        <f>#REF!</f>
        <v>#REF!</v>
      </c>
      <c r="AG23" s="45">
        <f>RICARDO!O23</f>
        <v>3</v>
      </c>
      <c r="AH23" s="45">
        <f>MARCIO!O23</f>
        <v>3</v>
      </c>
      <c r="AI23" s="45">
        <f>RENAN!O23</f>
        <v>4</v>
      </c>
      <c r="AJ23" s="45">
        <f>THIAGO!O23</f>
        <v>3</v>
      </c>
      <c r="AK23" s="45">
        <f>MARQUES!O23</f>
        <v>4</v>
      </c>
      <c r="AL23" s="46">
        <f>SOARES!O23</f>
        <v>0</v>
      </c>
      <c r="AM23" s="45">
        <f>GUSTAVO!O23</f>
        <v>3</v>
      </c>
    </row>
    <row r="24" spans="1:39" ht="21.6" thickTop="1" x14ac:dyDescent="0.4">
      <c r="A24" s="110">
        <v>46190</v>
      </c>
      <c r="B24" s="111">
        <v>0.83333333333333337</v>
      </c>
      <c r="C24" s="112" t="s">
        <v>111</v>
      </c>
      <c r="D24" s="113">
        <v>1</v>
      </c>
      <c r="E24" s="113" t="s">
        <v>1</v>
      </c>
      <c r="F24" s="113">
        <v>0</v>
      </c>
      <c r="G24" s="112" t="s">
        <v>135</v>
      </c>
      <c r="H24" s="52"/>
      <c r="I24" s="26">
        <v>1</v>
      </c>
      <c r="J24" s="27" t="s">
        <v>97</v>
      </c>
      <c r="K24" s="27">
        <v>129</v>
      </c>
      <c r="L24" s="28">
        <v>4</v>
      </c>
      <c r="M24" s="28">
        <v>5</v>
      </c>
      <c r="N24" s="28">
        <v>6</v>
      </c>
      <c r="O24" s="28">
        <v>13</v>
      </c>
      <c r="P24" s="29">
        <v>16</v>
      </c>
      <c r="R24" s="12" t="str">
        <f t="shared" si="6"/>
        <v>Gana</v>
      </c>
      <c r="S24" s="9">
        <f t="shared" si="7"/>
        <v>1</v>
      </c>
      <c r="T24" s="9">
        <f t="shared" si="8"/>
        <v>0</v>
      </c>
      <c r="AA24" s="45">
        <f>BERNARDO!O24</f>
        <v>3</v>
      </c>
      <c r="AB24" s="45" t="e">
        <f>#REF!</f>
        <v>#REF!</v>
      </c>
      <c r="AC24" s="45" t="e">
        <f>#REF!</f>
        <v>#REF!</v>
      </c>
      <c r="AD24" s="45">
        <f>FERNANDO!O24</f>
        <v>3</v>
      </c>
      <c r="AE24" s="45">
        <f>GABRIEL!O24</f>
        <v>3</v>
      </c>
      <c r="AF24" s="46" t="e">
        <f>#REF!</f>
        <v>#REF!</v>
      </c>
      <c r="AG24" s="45">
        <f>RICARDO!O24</f>
        <v>3</v>
      </c>
      <c r="AH24" s="45">
        <f>MARCIO!O24</f>
        <v>3</v>
      </c>
      <c r="AI24" s="45">
        <f>RENAN!O24</f>
        <v>3</v>
      </c>
      <c r="AJ24" s="45">
        <f>THIAGO!O24</f>
        <v>3</v>
      </c>
      <c r="AK24" s="45">
        <f>MARQUES!O24</f>
        <v>0</v>
      </c>
      <c r="AL24" s="46">
        <f>SOARES!O24</f>
        <v>3</v>
      </c>
      <c r="AM24" s="45">
        <f>GUSTAVO!O24</f>
        <v>3</v>
      </c>
    </row>
    <row r="25" spans="1:39" ht="21" x14ac:dyDescent="0.4">
      <c r="A25" s="110">
        <v>46190</v>
      </c>
      <c r="B25" s="111">
        <v>0.95833333333333337</v>
      </c>
      <c r="C25" s="112" t="s">
        <v>133</v>
      </c>
      <c r="D25" s="113">
        <v>1</v>
      </c>
      <c r="E25" s="113" t="s">
        <v>1</v>
      </c>
      <c r="F25" s="113">
        <v>3</v>
      </c>
      <c r="G25" s="112" t="s">
        <v>134</v>
      </c>
      <c r="H25" s="52"/>
      <c r="I25" s="30">
        <v>2</v>
      </c>
      <c r="J25" s="7" t="s">
        <v>22</v>
      </c>
      <c r="K25" s="7">
        <v>120</v>
      </c>
      <c r="L25" s="11">
        <v>6</v>
      </c>
      <c r="M25" s="11">
        <v>1</v>
      </c>
      <c r="N25" s="11">
        <v>3</v>
      </c>
      <c r="O25" s="11">
        <v>16</v>
      </c>
      <c r="P25" s="31">
        <v>18</v>
      </c>
      <c r="R25" s="12" t="str">
        <f t="shared" si="6"/>
        <v>Colômbia</v>
      </c>
      <c r="S25" s="9">
        <f t="shared" si="7"/>
        <v>3</v>
      </c>
      <c r="T25" s="9">
        <f t="shared" si="8"/>
        <v>1</v>
      </c>
      <c r="AA25" s="45">
        <f>BERNARDO!O25</f>
        <v>4</v>
      </c>
      <c r="AB25" s="45" t="e">
        <f>#REF!</f>
        <v>#REF!</v>
      </c>
      <c r="AC25" s="45" t="e">
        <f>#REF!</f>
        <v>#REF!</v>
      </c>
      <c r="AD25" s="45">
        <f>FERNANDO!O25</f>
        <v>4</v>
      </c>
      <c r="AE25" s="45">
        <f>GABRIEL!O25</f>
        <v>0</v>
      </c>
      <c r="AF25" s="46" t="e">
        <f>#REF!</f>
        <v>#REF!</v>
      </c>
      <c r="AG25" s="45">
        <f>RICARDO!O25</f>
        <v>3</v>
      </c>
      <c r="AH25" s="45">
        <f>MARCIO!O25</f>
        <v>3</v>
      </c>
      <c r="AI25" s="45">
        <f>RENAN!O25</f>
        <v>6</v>
      </c>
      <c r="AJ25" s="45">
        <f>THIAGO!O25</f>
        <v>3</v>
      </c>
      <c r="AK25" s="45">
        <f>MARQUES!O25</f>
        <v>3</v>
      </c>
      <c r="AL25" s="46">
        <f>SOARES!O25</f>
        <v>3</v>
      </c>
      <c r="AM25" s="45">
        <f>GUSTAVO!O25</f>
        <v>9</v>
      </c>
    </row>
    <row r="26" spans="1:39" ht="21" x14ac:dyDescent="0.4">
      <c r="A26" s="127">
        <v>46191</v>
      </c>
      <c r="B26" s="128">
        <v>0.54166666666666663</v>
      </c>
      <c r="C26" s="129" t="s">
        <v>116</v>
      </c>
      <c r="D26" s="130">
        <v>1</v>
      </c>
      <c r="E26" s="130" t="s">
        <v>1</v>
      </c>
      <c r="F26" s="130">
        <v>1</v>
      </c>
      <c r="G26" s="129" t="s">
        <v>90</v>
      </c>
      <c r="H26" s="52"/>
      <c r="I26" s="30">
        <v>3</v>
      </c>
      <c r="J26" s="7" t="s">
        <v>98</v>
      </c>
      <c r="K26" s="7">
        <v>119</v>
      </c>
      <c r="L26" s="11">
        <v>6</v>
      </c>
      <c r="M26" s="11">
        <v>2</v>
      </c>
      <c r="N26" s="11">
        <v>5</v>
      </c>
      <c r="O26" s="11">
        <v>11</v>
      </c>
      <c r="P26" s="31">
        <v>20</v>
      </c>
      <c r="R26" s="12" t="str">
        <f t="shared" si="6"/>
        <v>EMPATE</v>
      </c>
      <c r="S26" s="9">
        <f t="shared" si="7"/>
        <v>1</v>
      </c>
      <c r="T26" s="9">
        <f t="shared" si="8"/>
        <v>1</v>
      </c>
      <c r="AA26" s="45">
        <f>BERNARDO!O26</f>
        <v>9</v>
      </c>
      <c r="AB26" s="45" t="e">
        <f>#REF!</f>
        <v>#REF!</v>
      </c>
      <c r="AC26" s="45" t="e">
        <f>#REF!</f>
        <v>#REF!</v>
      </c>
      <c r="AD26" s="45">
        <f>FERNANDO!O26</f>
        <v>0</v>
      </c>
      <c r="AE26" s="45">
        <f>GABRIEL!O26</f>
        <v>0</v>
      </c>
      <c r="AF26" s="46" t="e">
        <f>#REF!</f>
        <v>#REF!</v>
      </c>
      <c r="AG26" s="45">
        <f>RICARDO!O26</f>
        <v>0</v>
      </c>
      <c r="AH26" s="45">
        <f>MARCIO!O26</f>
        <v>0</v>
      </c>
      <c r="AI26" s="45">
        <f>RENAN!O26</f>
        <v>0</v>
      </c>
      <c r="AJ26" s="45">
        <f>THIAGO!O26</f>
        <v>9</v>
      </c>
      <c r="AK26" s="45">
        <f>MARQUES!O26</f>
        <v>0</v>
      </c>
      <c r="AL26" s="46">
        <f>SOARES!O26</f>
        <v>0</v>
      </c>
      <c r="AM26" s="45">
        <f>GUSTAVO!O26</f>
        <v>0</v>
      </c>
    </row>
    <row r="27" spans="1:39" ht="21" x14ac:dyDescent="0.4">
      <c r="A27" s="127">
        <v>46191</v>
      </c>
      <c r="B27" s="128">
        <v>0.66666666666666663</v>
      </c>
      <c r="C27" s="129" t="s">
        <v>74</v>
      </c>
      <c r="D27" s="130">
        <v>4</v>
      </c>
      <c r="E27" s="130" t="s">
        <v>1</v>
      </c>
      <c r="F27" s="130">
        <v>1</v>
      </c>
      <c r="G27" s="129" t="s">
        <v>117</v>
      </c>
      <c r="H27" s="52"/>
      <c r="I27" s="30">
        <v>4</v>
      </c>
      <c r="J27" s="7" t="s">
        <v>96</v>
      </c>
      <c r="K27" s="7">
        <v>118</v>
      </c>
      <c r="L27" s="11">
        <v>5</v>
      </c>
      <c r="M27" s="11">
        <v>3</v>
      </c>
      <c r="N27" s="11">
        <v>7</v>
      </c>
      <c r="O27" s="11">
        <v>9</v>
      </c>
      <c r="P27" s="31">
        <v>20</v>
      </c>
      <c r="R27" s="12" t="str">
        <f t="shared" si="6"/>
        <v>Suíça</v>
      </c>
      <c r="S27" s="9">
        <f t="shared" si="7"/>
        <v>4</v>
      </c>
      <c r="T27" s="9">
        <f t="shared" si="8"/>
        <v>1</v>
      </c>
      <c r="AA27" s="45">
        <f>BERNARDO!O27</f>
        <v>0</v>
      </c>
      <c r="AB27" s="45" t="e">
        <f>#REF!</f>
        <v>#REF!</v>
      </c>
      <c r="AC27" s="45" t="e">
        <f>#REF!</f>
        <v>#REF!</v>
      </c>
      <c r="AD27" s="45">
        <f>FERNANDO!O27</f>
        <v>0</v>
      </c>
      <c r="AE27" s="45">
        <f>GABRIEL!O27</f>
        <v>0</v>
      </c>
      <c r="AF27" s="46" t="e">
        <f>#REF!</f>
        <v>#REF!</v>
      </c>
      <c r="AG27" s="45">
        <f>RICARDO!O27</f>
        <v>3</v>
      </c>
      <c r="AH27" s="45">
        <f>MARCIO!O27</f>
        <v>3</v>
      </c>
      <c r="AI27" s="45">
        <f>RENAN!O27</f>
        <v>0</v>
      </c>
      <c r="AJ27" s="45">
        <f>THIAGO!O27</f>
        <v>4</v>
      </c>
      <c r="AK27" s="45">
        <f>MARQUES!O27</f>
        <v>3</v>
      </c>
      <c r="AL27" s="46">
        <f>SOARES!O27</f>
        <v>0</v>
      </c>
      <c r="AM27" s="45">
        <f>GUSTAVO!O27</f>
        <v>0</v>
      </c>
    </row>
    <row r="28" spans="1:39" ht="21" x14ac:dyDescent="0.4">
      <c r="A28" s="127">
        <v>46191</v>
      </c>
      <c r="B28" s="128">
        <v>0.79166666666666663</v>
      </c>
      <c r="C28" s="129" t="s">
        <v>110</v>
      </c>
      <c r="D28" s="130">
        <v>6</v>
      </c>
      <c r="E28" s="130" t="s">
        <v>1</v>
      </c>
      <c r="F28" s="130">
        <v>0</v>
      </c>
      <c r="G28" s="129" t="s">
        <v>99</v>
      </c>
      <c r="H28" s="52"/>
      <c r="I28" s="30">
        <v>5</v>
      </c>
      <c r="J28" s="7" t="s">
        <v>21</v>
      </c>
      <c r="K28" s="7">
        <v>111</v>
      </c>
      <c r="L28" s="11">
        <v>4</v>
      </c>
      <c r="M28" s="11">
        <v>4</v>
      </c>
      <c r="N28" s="11">
        <v>9</v>
      </c>
      <c r="O28" s="11">
        <v>5</v>
      </c>
      <c r="P28" s="31">
        <v>22</v>
      </c>
      <c r="R28" s="12" t="str">
        <f t="shared" si="6"/>
        <v>Canadá</v>
      </c>
      <c r="S28" s="9">
        <f t="shared" si="7"/>
        <v>6</v>
      </c>
      <c r="T28" s="9">
        <f t="shared" si="8"/>
        <v>0</v>
      </c>
      <c r="AA28" s="45">
        <f>BERNARDO!O28</f>
        <v>4</v>
      </c>
      <c r="AB28" s="45" t="e">
        <f>#REF!</f>
        <v>#REF!</v>
      </c>
      <c r="AC28" s="45" t="e">
        <f>#REF!</f>
        <v>#REF!</v>
      </c>
      <c r="AD28" s="45">
        <f>FERNANDO!O28</f>
        <v>3</v>
      </c>
      <c r="AE28" s="45">
        <f>GABRIEL!O28</f>
        <v>3</v>
      </c>
      <c r="AF28" s="46" t="e">
        <f>#REF!</f>
        <v>#REF!</v>
      </c>
      <c r="AG28" s="45">
        <f>RICARDO!O28</f>
        <v>3</v>
      </c>
      <c r="AH28" s="45">
        <f>MARCIO!O28</f>
        <v>3</v>
      </c>
      <c r="AI28" s="45">
        <f>RENAN!O28</f>
        <v>4</v>
      </c>
      <c r="AJ28" s="45">
        <f>THIAGO!O28</f>
        <v>0</v>
      </c>
      <c r="AK28" s="45">
        <f>MARQUES!O28</f>
        <v>3</v>
      </c>
      <c r="AL28" s="46">
        <f>SOARES!O28</f>
        <v>3</v>
      </c>
      <c r="AM28" s="45">
        <f>GUSTAVO!O28</f>
        <v>0</v>
      </c>
    </row>
    <row r="29" spans="1:39" ht="21" x14ac:dyDescent="0.4">
      <c r="A29" s="127">
        <v>46191</v>
      </c>
      <c r="B29" s="128">
        <v>0.91666666666666663</v>
      </c>
      <c r="C29" s="129" t="s">
        <v>13</v>
      </c>
      <c r="D29" s="130">
        <v>1</v>
      </c>
      <c r="E29" s="130" t="s">
        <v>1</v>
      </c>
      <c r="F29" s="130">
        <v>0</v>
      </c>
      <c r="G29" s="129" t="s">
        <v>15</v>
      </c>
      <c r="H29" s="52"/>
      <c r="I29" s="30">
        <v>6</v>
      </c>
      <c r="J29" s="7" t="s">
        <v>115</v>
      </c>
      <c r="K29" s="7">
        <v>101</v>
      </c>
      <c r="L29" s="11">
        <v>4</v>
      </c>
      <c r="M29" s="11">
        <v>2</v>
      </c>
      <c r="N29" s="11">
        <v>5</v>
      </c>
      <c r="O29" s="11">
        <v>11</v>
      </c>
      <c r="P29" s="31">
        <v>22</v>
      </c>
      <c r="R29" s="12" t="str">
        <f t="shared" si="6"/>
        <v>México</v>
      </c>
      <c r="S29" s="9">
        <f t="shared" si="7"/>
        <v>1</v>
      </c>
      <c r="T29" s="9">
        <f t="shared" si="8"/>
        <v>0</v>
      </c>
      <c r="AA29" s="45">
        <f>BERNARDO!O29</f>
        <v>3</v>
      </c>
      <c r="AB29" s="45" t="e">
        <f>#REF!</f>
        <v>#REF!</v>
      </c>
      <c r="AC29" s="45" t="e">
        <f>#REF!</f>
        <v>#REF!</v>
      </c>
      <c r="AD29" s="45">
        <f>FERNANDO!O29</f>
        <v>0</v>
      </c>
      <c r="AE29" s="45">
        <f>GABRIEL!O29</f>
        <v>0</v>
      </c>
      <c r="AF29" s="46" t="e">
        <f>#REF!</f>
        <v>#REF!</v>
      </c>
      <c r="AG29" s="45">
        <f>RICARDO!O29</f>
        <v>0</v>
      </c>
      <c r="AH29" s="45">
        <f>MARCIO!O29</f>
        <v>0</v>
      </c>
      <c r="AI29" s="45">
        <f>RENAN!O29</f>
        <v>0</v>
      </c>
      <c r="AJ29" s="45">
        <f>THIAGO!O29</f>
        <v>3</v>
      </c>
      <c r="AK29" s="45">
        <f>MARQUES!O29</f>
        <v>3</v>
      </c>
      <c r="AL29" s="46">
        <f>SOARES!O29</f>
        <v>3</v>
      </c>
      <c r="AM29" s="45">
        <f>GUSTAVO!O29</f>
        <v>0</v>
      </c>
    </row>
    <row r="30" spans="1:39" ht="21" x14ac:dyDescent="0.4">
      <c r="A30" s="127">
        <v>46192</v>
      </c>
      <c r="B30" s="128">
        <v>0.66666666666666663</v>
      </c>
      <c r="C30" s="129" t="s">
        <v>109</v>
      </c>
      <c r="D30" s="130">
        <v>2</v>
      </c>
      <c r="E30" s="130" t="s">
        <v>1</v>
      </c>
      <c r="F30" s="130">
        <v>0</v>
      </c>
      <c r="G30" s="129" t="s">
        <v>8</v>
      </c>
      <c r="H30" s="52"/>
      <c r="I30" s="30">
        <v>7</v>
      </c>
      <c r="J30" s="7" t="s">
        <v>114</v>
      </c>
      <c r="K30" s="7">
        <v>101</v>
      </c>
      <c r="L30" s="11">
        <v>2</v>
      </c>
      <c r="M30" s="11">
        <v>3</v>
      </c>
      <c r="N30" s="11">
        <v>8</v>
      </c>
      <c r="O30" s="11">
        <v>11</v>
      </c>
      <c r="P30" s="31">
        <v>20</v>
      </c>
      <c r="R30" s="12" t="str">
        <f t="shared" si="6"/>
        <v>Estados Unidos</v>
      </c>
      <c r="S30" s="9">
        <f t="shared" si="7"/>
        <v>2</v>
      </c>
      <c r="T30" s="9">
        <f t="shared" si="8"/>
        <v>0</v>
      </c>
      <c r="AA30" s="45">
        <f>BERNARDO!O30</f>
        <v>4</v>
      </c>
      <c r="AB30" s="45" t="e">
        <f>#REF!</f>
        <v>#REF!</v>
      </c>
      <c r="AC30" s="45" t="e">
        <f>#REF!</f>
        <v>#REF!</v>
      </c>
      <c r="AD30" s="45">
        <f>FERNANDO!O30</f>
        <v>4</v>
      </c>
      <c r="AE30" s="45">
        <f>GABRIEL!O30</f>
        <v>3</v>
      </c>
      <c r="AF30" s="46" t="e">
        <f>#REF!</f>
        <v>#REF!</v>
      </c>
      <c r="AG30" s="45">
        <f>RICARDO!O30</f>
        <v>6</v>
      </c>
      <c r="AH30" s="45">
        <f>MARCIO!O30</f>
        <v>3</v>
      </c>
      <c r="AI30" s="45">
        <f>RENAN!O30</f>
        <v>6</v>
      </c>
      <c r="AJ30" s="45">
        <f>THIAGO!O30</f>
        <v>6</v>
      </c>
      <c r="AK30" s="45">
        <f>MARQUES!O30</f>
        <v>6</v>
      </c>
      <c r="AL30" s="46">
        <f>SOARES!O30</f>
        <v>9</v>
      </c>
      <c r="AM30" s="45">
        <f>GUSTAVO!O30</f>
        <v>0</v>
      </c>
    </row>
    <row r="31" spans="1:39" ht="21" x14ac:dyDescent="0.4">
      <c r="A31" s="127">
        <v>46192</v>
      </c>
      <c r="B31" s="128">
        <v>0.79166666666666663</v>
      </c>
      <c r="C31" s="129" t="s">
        <v>119</v>
      </c>
      <c r="D31" s="130">
        <v>0</v>
      </c>
      <c r="E31" s="130" t="s">
        <v>1</v>
      </c>
      <c r="F31" s="130">
        <v>1</v>
      </c>
      <c r="G31" s="129" t="s">
        <v>4</v>
      </c>
      <c r="H31" s="52"/>
      <c r="I31" s="30">
        <v>8</v>
      </c>
      <c r="J31" s="7" t="s">
        <v>94</v>
      </c>
      <c r="K31" s="7">
        <v>96</v>
      </c>
      <c r="L31" s="11">
        <v>3</v>
      </c>
      <c r="M31" s="11">
        <v>3</v>
      </c>
      <c r="N31" s="11">
        <v>6</v>
      </c>
      <c r="O31" s="11">
        <v>9</v>
      </c>
      <c r="P31" s="31">
        <v>23</v>
      </c>
      <c r="R31" s="12" t="str">
        <f t="shared" si="6"/>
        <v>Marrocos</v>
      </c>
      <c r="S31" s="9">
        <f t="shared" si="7"/>
        <v>1</v>
      </c>
      <c r="T31" s="9">
        <f t="shared" si="8"/>
        <v>0</v>
      </c>
      <c r="AA31" s="45">
        <f>BERNARDO!O31</f>
        <v>0</v>
      </c>
      <c r="AB31" s="45" t="e">
        <f>#REF!</f>
        <v>#REF!</v>
      </c>
      <c r="AC31" s="45" t="e">
        <f>#REF!</f>
        <v>#REF!</v>
      </c>
      <c r="AD31" s="45">
        <f>FERNANDO!O31</f>
        <v>3</v>
      </c>
      <c r="AE31" s="45">
        <f>GABRIEL!O31</f>
        <v>3</v>
      </c>
      <c r="AF31" s="46" t="e">
        <f>#REF!</f>
        <v>#REF!</v>
      </c>
      <c r="AG31" s="45">
        <f>RICARDO!O31</f>
        <v>3</v>
      </c>
      <c r="AH31" s="45">
        <f>MARCIO!O31</f>
        <v>3</v>
      </c>
      <c r="AI31" s="45">
        <f>RENAN!O31</f>
        <v>4</v>
      </c>
      <c r="AJ31" s="45">
        <f>THIAGO!O31</f>
        <v>0</v>
      </c>
      <c r="AK31" s="45">
        <f>MARQUES!O31</f>
        <v>3</v>
      </c>
      <c r="AL31" s="46">
        <f>SOARES!O31</f>
        <v>9</v>
      </c>
      <c r="AM31" s="45">
        <f>GUSTAVO!O31</f>
        <v>3</v>
      </c>
    </row>
    <row r="32" spans="1:39" ht="21" x14ac:dyDescent="0.4">
      <c r="A32" s="127">
        <v>46192</v>
      </c>
      <c r="B32" s="128">
        <v>0.89583333333333337</v>
      </c>
      <c r="C32" s="129" t="s">
        <v>11</v>
      </c>
      <c r="D32" s="130">
        <v>3</v>
      </c>
      <c r="E32" s="130" t="s">
        <v>1</v>
      </c>
      <c r="F32" s="130">
        <v>0</v>
      </c>
      <c r="G32" s="129" t="s">
        <v>118</v>
      </c>
      <c r="H32" s="52"/>
      <c r="I32" s="30">
        <v>9</v>
      </c>
      <c r="J32" s="7" t="s">
        <v>95</v>
      </c>
      <c r="K32" s="7">
        <v>85</v>
      </c>
      <c r="L32" s="11">
        <v>3</v>
      </c>
      <c r="M32" s="11">
        <v>0</v>
      </c>
      <c r="N32" s="11">
        <v>7</v>
      </c>
      <c r="O32" s="11">
        <v>10</v>
      </c>
      <c r="P32" s="31">
        <v>24</v>
      </c>
      <c r="R32" s="12" t="str">
        <f t="shared" si="6"/>
        <v>Brasil</v>
      </c>
      <c r="S32" s="9">
        <f t="shared" si="7"/>
        <v>3</v>
      </c>
      <c r="T32" s="9">
        <f t="shared" si="8"/>
        <v>0</v>
      </c>
      <c r="AA32" s="45">
        <f>BERNARDO!O32</f>
        <v>4</v>
      </c>
      <c r="AB32" s="45" t="e">
        <f>#REF!</f>
        <v>#REF!</v>
      </c>
      <c r="AC32" s="45" t="e">
        <f>#REF!</f>
        <v>#REF!</v>
      </c>
      <c r="AD32" s="45">
        <f>FERNANDO!O32</f>
        <v>9</v>
      </c>
      <c r="AE32" s="45">
        <f>GABRIEL!O32</f>
        <v>4</v>
      </c>
      <c r="AF32" s="46" t="e">
        <f>#REF!</f>
        <v>#REF!</v>
      </c>
      <c r="AG32" s="45">
        <f>RICARDO!O32</f>
        <v>4</v>
      </c>
      <c r="AH32" s="45">
        <f>MARCIO!O32</f>
        <v>3</v>
      </c>
      <c r="AI32" s="45">
        <f>RENAN!O32</f>
        <v>9</v>
      </c>
      <c r="AJ32" s="45">
        <f>THIAGO!O32</f>
        <v>4</v>
      </c>
      <c r="AK32" s="45">
        <f>MARQUES!O32</f>
        <v>9</v>
      </c>
      <c r="AL32" s="46">
        <f>SOARES!O32</f>
        <v>9</v>
      </c>
      <c r="AM32" s="45">
        <f>GUSTAVO!O32</f>
        <v>4</v>
      </c>
    </row>
    <row r="33" spans="1:39" ht="21.6" thickBot="1" x14ac:dyDescent="0.45">
      <c r="A33" s="127">
        <v>46193</v>
      </c>
      <c r="B33" s="128">
        <v>0</v>
      </c>
      <c r="C33" s="129" t="s">
        <v>121</v>
      </c>
      <c r="D33" s="130">
        <v>0</v>
      </c>
      <c r="E33" s="130" t="s">
        <v>1</v>
      </c>
      <c r="F33" s="130">
        <v>1</v>
      </c>
      <c r="G33" s="129" t="s">
        <v>120</v>
      </c>
      <c r="H33" s="52"/>
      <c r="I33" s="32">
        <v>10</v>
      </c>
      <c r="J33" s="33" t="s">
        <v>23</v>
      </c>
      <c r="K33" s="33">
        <v>83</v>
      </c>
      <c r="L33" s="34">
        <v>1</v>
      </c>
      <c r="M33" s="34">
        <v>4</v>
      </c>
      <c r="N33" s="34">
        <v>8</v>
      </c>
      <c r="O33" s="34">
        <v>6</v>
      </c>
      <c r="P33" s="35">
        <v>25</v>
      </c>
      <c r="R33" s="12" t="str">
        <f t="shared" si="6"/>
        <v>Paraguai</v>
      </c>
      <c r="S33" s="9">
        <f t="shared" si="7"/>
        <v>1</v>
      </c>
      <c r="T33" s="9">
        <f t="shared" si="8"/>
        <v>0</v>
      </c>
      <c r="AA33" s="45">
        <f>BERNARDO!O33</f>
        <v>0</v>
      </c>
      <c r="AB33" s="45" t="e">
        <f>#REF!</f>
        <v>#REF!</v>
      </c>
      <c r="AC33" s="45" t="e">
        <f>#REF!</f>
        <v>#REF!</v>
      </c>
      <c r="AD33" s="45">
        <f>FERNANDO!O33</f>
        <v>4</v>
      </c>
      <c r="AE33" s="45">
        <f>GABRIEL!O33</f>
        <v>4</v>
      </c>
      <c r="AF33" s="46" t="e">
        <f>#REF!</f>
        <v>#REF!</v>
      </c>
      <c r="AG33" s="45">
        <f>RICARDO!O33</f>
        <v>0</v>
      </c>
      <c r="AH33" s="45">
        <f>MARCIO!O33</f>
        <v>3</v>
      </c>
      <c r="AI33" s="45">
        <f>RENAN!O33</f>
        <v>0</v>
      </c>
      <c r="AJ33" s="45">
        <f>THIAGO!O33</f>
        <v>0</v>
      </c>
      <c r="AK33" s="45">
        <f>MARQUES!O33</f>
        <v>0</v>
      </c>
      <c r="AL33" s="46">
        <f>SOARES!O33</f>
        <v>0</v>
      </c>
      <c r="AM33" s="45">
        <f>GUSTAVO!O33</f>
        <v>0</v>
      </c>
    </row>
    <row r="34" spans="1:39" ht="16.2" thickTop="1" x14ac:dyDescent="0.3">
      <c r="A34" s="127">
        <v>46193</v>
      </c>
      <c r="B34" s="128">
        <v>0.58333333333333337</v>
      </c>
      <c r="C34" s="129" t="s">
        <v>80</v>
      </c>
      <c r="D34" s="130">
        <v>5</v>
      </c>
      <c r="E34" s="130" t="s">
        <v>1</v>
      </c>
      <c r="F34" s="130">
        <v>1</v>
      </c>
      <c r="G34" s="129" t="s">
        <v>14</v>
      </c>
      <c r="H34" s="52"/>
      <c r="I34" s="5"/>
      <c r="J34" s="5"/>
      <c r="R34" s="12" t="str">
        <f t="shared" si="6"/>
        <v>Holanda</v>
      </c>
      <c r="S34" s="9">
        <f t="shared" si="7"/>
        <v>5</v>
      </c>
      <c r="T34" s="9">
        <f t="shared" si="8"/>
        <v>1</v>
      </c>
      <c r="AA34" s="45">
        <f>BERNARDO!O34</f>
        <v>4</v>
      </c>
      <c r="AB34" s="45" t="e">
        <f>#REF!</f>
        <v>#REF!</v>
      </c>
      <c r="AC34" s="45" t="e">
        <f>#REF!</f>
        <v>#REF!</v>
      </c>
      <c r="AD34" s="45">
        <f>FERNANDO!O34</f>
        <v>0</v>
      </c>
      <c r="AE34" s="45">
        <f>GABRIEL!O34</f>
        <v>4</v>
      </c>
      <c r="AF34" s="46" t="e">
        <f>#REF!</f>
        <v>#REF!</v>
      </c>
      <c r="AG34" s="45">
        <f>RICARDO!O34</f>
        <v>4</v>
      </c>
      <c r="AH34" s="45">
        <f>MARCIO!O34</f>
        <v>0</v>
      </c>
      <c r="AI34" s="45">
        <f>RENAN!O34</f>
        <v>0</v>
      </c>
      <c r="AJ34" s="45">
        <f>THIAGO!O34</f>
        <v>4</v>
      </c>
      <c r="AK34" s="45">
        <f>MARQUES!O34</f>
        <v>4</v>
      </c>
      <c r="AL34" s="46">
        <f>SOARES!O34</f>
        <v>0</v>
      </c>
      <c r="AM34" s="45">
        <f>GUSTAVO!O34</f>
        <v>0</v>
      </c>
    </row>
    <row r="35" spans="1:39" ht="21" x14ac:dyDescent="0.4">
      <c r="A35" s="127">
        <v>46193</v>
      </c>
      <c r="B35" s="128">
        <v>0.70833333333333337</v>
      </c>
      <c r="C35" s="129" t="s">
        <v>12</v>
      </c>
      <c r="D35" s="130">
        <v>2</v>
      </c>
      <c r="E35" s="130" t="s">
        <v>1</v>
      </c>
      <c r="F35" s="130">
        <v>1</v>
      </c>
      <c r="G35" s="129" t="s">
        <v>123</v>
      </c>
      <c r="H35" s="52"/>
      <c r="I35" s="20"/>
      <c r="J35" s="109">
        <v>1000</v>
      </c>
      <c r="K35" s="109"/>
      <c r="L35" s="109"/>
      <c r="M35" s="109"/>
      <c r="N35" s="109"/>
      <c r="R35" s="12" t="str">
        <f t="shared" si="6"/>
        <v>Alemanha</v>
      </c>
      <c r="S35" s="9">
        <f t="shared" si="7"/>
        <v>2</v>
      </c>
      <c r="T35" s="9">
        <f t="shared" si="8"/>
        <v>1</v>
      </c>
      <c r="AA35" s="45">
        <f>BERNARDO!O35</f>
        <v>4</v>
      </c>
      <c r="AB35" s="45" t="e">
        <f>#REF!</f>
        <v>#REF!</v>
      </c>
      <c r="AC35" s="45" t="e">
        <f>#REF!</f>
        <v>#REF!</v>
      </c>
      <c r="AD35" s="45">
        <f>FERNANDO!O35</f>
        <v>4</v>
      </c>
      <c r="AE35" s="45">
        <f>GABRIEL!O35</f>
        <v>4</v>
      </c>
      <c r="AF35" s="46" t="e">
        <f>#REF!</f>
        <v>#REF!</v>
      </c>
      <c r="AG35" s="45">
        <f>RICARDO!O35</f>
        <v>4</v>
      </c>
      <c r="AH35" s="45">
        <f>MARCIO!O35</f>
        <v>4</v>
      </c>
      <c r="AI35" s="45">
        <f>RENAN!O35</f>
        <v>0</v>
      </c>
      <c r="AJ35" s="45">
        <f>THIAGO!O35</f>
        <v>9</v>
      </c>
      <c r="AK35" s="45">
        <f>MARQUES!O35</f>
        <v>3</v>
      </c>
      <c r="AL35" s="46">
        <f>SOARES!O35</f>
        <v>4</v>
      </c>
      <c r="AM35" s="45">
        <f>GUSTAVO!O35</f>
        <v>3</v>
      </c>
    </row>
    <row r="36" spans="1:39" ht="21" x14ac:dyDescent="0.4">
      <c r="A36" s="127">
        <v>46193</v>
      </c>
      <c r="B36" s="128">
        <v>0.875</v>
      </c>
      <c r="C36" s="129" t="s">
        <v>107</v>
      </c>
      <c r="D36" s="130">
        <v>0</v>
      </c>
      <c r="E36" s="130" t="s">
        <v>1</v>
      </c>
      <c r="F36" s="130">
        <v>0</v>
      </c>
      <c r="G36" s="129" t="s">
        <v>122</v>
      </c>
      <c r="H36" s="52"/>
      <c r="I36" s="20"/>
      <c r="J36" s="109">
        <v>500</v>
      </c>
      <c r="K36" s="109"/>
      <c r="L36" s="109"/>
      <c r="M36" s="109"/>
      <c r="N36" s="109"/>
      <c r="R36" s="12" t="str">
        <f t="shared" si="6"/>
        <v>EMPATE</v>
      </c>
      <c r="S36" s="9">
        <f t="shared" si="7"/>
        <v>0</v>
      </c>
      <c r="T36" s="9">
        <f t="shared" si="8"/>
        <v>0</v>
      </c>
      <c r="AA36" s="45">
        <f>BERNARDO!O36</f>
        <v>0</v>
      </c>
      <c r="AB36" s="45" t="e">
        <f>#REF!</f>
        <v>#REF!</v>
      </c>
      <c r="AC36" s="45" t="e">
        <f>#REF!</f>
        <v>#REF!</v>
      </c>
      <c r="AD36" s="45">
        <f>FERNANDO!O36</f>
        <v>0</v>
      </c>
      <c r="AE36" s="45">
        <f>GABRIEL!O36</f>
        <v>0</v>
      </c>
      <c r="AF36" s="46" t="e">
        <f>#REF!</f>
        <v>#REF!</v>
      </c>
      <c r="AG36" s="45">
        <f>RICARDO!O36</f>
        <v>0</v>
      </c>
      <c r="AH36" s="45">
        <f>MARCIO!O36</f>
        <v>0</v>
      </c>
      <c r="AI36" s="45">
        <f>RENAN!O36</f>
        <v>0</v>
      </c>
      <c r="AJ36" s="45">
        <f>THIAGO!O36</f>
        <v>0</v>
      </c>
      <c r="AK36" s="45">
        <f>MARQUES!O36</f>
        <v>0</v>
      </c>
      <c r="AL36" s="46">
        <f>SOARES!O36</f>
        <v>0</v>
      </c>
      <c r="AM36" s="45">
        <f>GUSTAVO!O36</f>
        <v>0</v>
      </c>
    </row>
    <row r="37" spans="1:39" ht="21" x14ac:dyDescent="0.4">
      <c r="A37" s="127">
        <v>46194</v>
      </c>
      <c r="B37" s="128">
        <v>4.1666666666666664E-2</v>
      </c>
      <c r="C37" s="129" t="s">
        <v>17</v>
      </c>
      <c r="D37" s="130">
        <v>0</v>
      </c>
      <c r="E37" s="130" t="s">
        <v>1</v>
      </c>
      <c r="F37" s="130">
        <v>4</v>
      </c>
      <c r="G37" s="129" t="s">
        <v>19</v>
      </c>
      <c r="H37" s="52"/>
      <c r="I37" s="20"/>
      <c r="J37" s="109">
        <v>300</v>
      </c>
      <c r="K37" s="109"/>
      <c r="L37" s="109"/>
      <c r="M37" s="109"/>
      <c r="N37" s="109"/>
      <c r="R37" s="12" t="str">
        <f t="shared" si="6"/>
        <v>Japão</v>
      </c>
      <c r="S37" s="9">
        <f t="shared" si="7"/>
        <v>4</v>
      </c>
      <c r="T37" s="9">
        <f t="shared" si="8"/>
        <v>0</v>
      </c>
      <c r="AA37" s="45">
        <f>BERNARDO!O37</f>
        <v>4</v>
      </c>
      <c r="AB37" s="45" t="e">
        <f>#REF!</f>
        <v>#REF!</v>
      </c>
      <c r="AC37" s="45" t="e">
        <f>#REF!</f>
        <v>#REF!</v>
      </c>
      <c r="AD37" s="45">
        <f>FERNANDO!O37</f>
        <v>4</v>
      </c>
      <c r="AE37" s="45">
        <f>GABRIEL!O37</f>
        <v>3</v>
      </c>
      <c r="AF37" s="46" t="e">
        <f>#REF!</f>
        <v>#REF!</v>
      </c>
      <c r="AG37" s="45">
        <f>RICARDO!O37</f>
        <v>4</v>
      </c>
      <c r="AH37" s="45">
        <f>MARCIO!O37</f>
        <v>3</v>
      </c>
      <c r="AI37" s="45">
        <f>RENAN!O37</f>
        <v>4</v>
      </c>
      <c r="AJ37" s="45">
        <f>THIAGO!O37</f>
        <v>3</v>
      </c>
      <c r="AK37" s="45">
        <f>MARQUES!O37</f>
        <v>3</v>
      </c>
      <c r="AL37" s="46">
        <f>SOARES!O37</f>
        <v>3</v>
      </c>
      <c r="AM37" s="45">
        <f>GUSTAVO!O37</f>
        <v>3</v>
      </c>
    </row>
    <row r="38" spans="1:39" ht="15.6" x14ac:dyDescent="0.3">
      <c r="A38" s="127">
        <v>46194</v>
      </c>
      <c r="B38" s="128">
        <v>0.54166666666666663</v>
      </c>
      <c r="C38" s="129" t="s">
        <v>6</v>
      </c>
      <c r="D38" s="130">
        <v>4</v>
      </c>
      <c r="E38" s="130" t="s">
        <v>1</v>
      </c>
      <c r="F38" s="130">
        <v>0</v>
      </c>
      <c r="G38" s="129" t="s">
        <v>2</v>
      </c>
      <c r="H38" s="52"/>
      <c r="I38" s="5"/>
      <c r="J38" s="5"/>
      <c r="R38" s="12" t="str">
        <f t="shared" si="6"/>
        <v>Espanha</v>
      </c>
      <c r="S38" s="9">
        <f t="shared" si="7"/>
        <v>4</v>
      </c>
      <c r="T38" s="9">
        <f t="shared" si="8"/>
        <v>0</v>
      </c>
      <c r="AA38" s="45">
        <f>BERNARDO!O38</f>
        <v>3</v>
      </c>
      <c r="AB38" s="45" t="e">
        <f>#REF!</f>
        <v>#REF!</v>
      </c>
      <c r="AC38" s="45" t="e">
        <f>#REF!</f>
        <v>#REF!</v>
      </c>
      <c r="AD38" s="45">
        <f>FERNANDO!O38</f>
        <v>3</v>
      </c>
      <c r="AE38" s="45">
        <f>GABRIEL!O38</f>
        <v>4</v>
      </c>
      <c r="AF38" s="46" t="e">
        <f>#REF!</f>
        <v>#REF!</v>
      </c>
      <c r="AG38" s="45">
        <f>RICARDO!O38</f>
        <v>4</v>
      </c>
      <c r="AH38" s="45">
        <f>MARCIO!O38</f>
        <v>3</v>
      </c>
      <c r="AI38" s="45">
        <f>RENAN!O38</f>
        <v>4</v>
      </c>
      <c r="AJ38" s="45">
        <f>THIAGO!O38</f>
        <v>4</v>
      </c>
      <c r="AK38" s="45">
        <f>MARQUES!O38</f>
        <v>3</v>
      </c>
      <c r="AL38" s="46">
        <f>SOARES!O38</f>
        <v>4</v>
      </c>
      <c r="AM38" s="45">
        <f>GUSTAVO!O38</f>
        <v>4</v>
      </c>
    </row>
    <row r="39" spans="1:39" ht="15.6" x14ac:dyDescent="0.3">
      <c r="A39" s="127">
        <v>46194</v>
      </c>
      <c r="B39" s="128">
        <v>0.66666666666666663</v>
      </c>
      <c r="C39" s="129" t="s">
        <v>16</v>
      </c>
      <c r="D39" s="130">
        <v>0</v>
      </c>
      <c r="E39" s="130" t="s">
        <v>1</v>
      </c>
      <c r="F39" s="130">
        <v>0</v>
      </c>
      <c r="G39" s="129" t="s">
        <v>108</v>
      </c>
      <c r="H39" s="52"/>
      <c r="I39" s="5"/>
      <c r="J39" s="5"/>
      <c r="R39" s="12" t="str">
        <f t="shared" si="6"/>
        <v>EMPATE</v>
      </c>
      <c r="S39" s="9">
        <f t="shared" si="7"/>
        <v>0</v>
      </c>
      <c r="T39" s="9">
        <f t="shared" si="8"/>
        <v>0</v>
      </c>
      <c r="AA39" s="45">
        <f>BERNARDO!O39</f>
        <v>6</v>
      </c>
      <c r="AB39" s="45" t="e">
        <f>#REF!</f>
        <v>#REF!</v>
      </c>
      <c r="AC39" s="45" t="e">
        <f>#REF!</f>
        <v>#REF!</v>
      </c>
      <c r="AD39" s="45">
        <f>FERNANDO!O39</f>
        <v>0</v>
      </c>
      <c r="AE39" s="45">
        <f>GABRIEL!O39</f>
        <v>0</v>
      </c>
      <c r="AF39" s="46" t="e">
        <f>#REF!</f>
        <v>#REF!</v>
      </c>
      <c r="AG39" s="45">
        <f>RICARDO!O39</f>
        <v>0</v>
      </c>
      <c r="AH39" s="45">
        <f>MARCIO!O39</f>
        <v>0</v>
      </c>
      <c r="AI39" s="45">
        <f>RENAN!O39</f>
        <v>0</v>
      </c>
      <c r="AJ39" s="45">
        <f>THIAGO!O39</f>
        <v>0</v>
      </c>
      <c r="AK39" s="45">
        <f>MARQUES!O39</f>
        <v>0</v>
      </c>
      <c r="AL39" s="46">
        <f>SOARES!O39</f>
        <v>0</v>
      </c>
      <c r="AM39" s="45">
        <f>GUSTAVO!O39</f>
        <v>6</v>
      </c>
    </row>
    <row r="40" spans="1:39" ht="15.6" x14ac:dyDescent="0.3">
      <c r="A40" s="127">
        <v>46194</v>
      </c>
      <c r="B40" s="128">
        <v>0.79166666666666663</v>
      </c>
      <c r="C40" s="129" t="s">
        <v>3</v>
      </c>
      <c r="D40" s="130">
        <v>2</v>
      </c>
      <c r="E40" s="130" t="s">
        <v>1</v>
      </c>
      <c r="F40" s="130">
        <v>2</v>
      </c>
      <c r="G40" s="129" t="s">
        <v>126</v>
      </c>
      <c r="H40" s="52"/>
      <c r="I40" s="5"/>
      <c r="J40" s="5"/>
      <c r="R40" s="12" t="str">
        <f t="shared" si="6"/>
        <v>EMPATE</v>
      </c>
      <c r="S40" s="9">
        <f t="shared" si="7"/>
        <v>2</v>
      </c>
      <c r="T40" s="9">
        <f t="shared" si="8"/>
        <v>2</v>
      </c>
      <c r="AA40" s="45">
        <f>BERNARDO!O40</f>
        <v>0</v>
      </c>
      <c r="AB40" s="45" t="e">
        <f>#REF!</f>
        <v>#REF!</v>
      </c>
      <c r="AC40" s="45" t="e">
        <f>#REF!</f>
        <v>#REF!</v>
      </c>
      <c r="AD40" s="45">
        <f>FERNANDO!O40</f>
        <v>0</v>
      </c>
      <c r="AE40" s="45">
        <f>GABRIEL!O40</f>
        <v>0</v>
      </c>
      <c r="AF40" s="46" t="e">
        <f>#REF!</f>
        <v>#REF!</v>
      </c>
      <c r="AG40" s="45">
        <f>RICARDO!O40</f>
        <v>0</v>
      </c>
      <c r="AH40" s="45">
        <f>MARCIO!O40</f>
        <v>0</v>
      </c>
      <c r="AI40" s="45">
        <f>RENAN!O40</f>
        <v>0</v>
      </c>
      <c r="AJ40" s="45">
        <f>THIAGO!O40</f>
        <v>0</v>
      </c>
      <c r="AK40" s="45">
        <f>MARQUES!O40</f>
        <v>0</v>
      </c>
      <c r="AL40" s="46">
        <f>SOARES!O40</f>
        <v>0</v>
      </c>
      <c r="AM40" s="45">
        <f>GUSTAVO!O40</f>
        <v>0</v>
      </c>
    </row>
    <row r="41" spans="1:39" ht="15.6" x14ac:dyDescent="0.3">
      <c r="A41" s="127">
        <v>46194</v>
      </c>
      <c r="B41" s="128">
        <v>0.91666666666666663</v>
      </c>
      <c r="C41" s="129" t="s">
        <v>125</v>
      </c>
      <c r="D41" s="130">
        <v>1</v>
      </c>
      <c r="E41" s="130" t="s">
        <v>1</v>
      </c>
      <c r="F41" s="130">
        <v>3</v>
      </c>
      <c r="G41" s="129" t="s">
        <v>124</v>
      </c>
      <c r="H41" s="52"/>
      <c r="I41" s="5"/>
      <c r="J41" s="5"/>
      <c r="R41" s="12" t="str">
        <f t="shared" si="6"/>
        <v>Egito</v>
      </c>
      <c r="S41" s="9">
        <f t="shared" si="7"/>
        <v>3</v>
      </c>
      <c r="T41" s="9">
        <f t="shared" si="8"/>
        <v>1</v>
      </c>
      <c r="AA41" s="45">
        <f>BERNARDO!O41</f>
        <v>0</v>
      </c>
      <c r="AB41" s="45" t="e">
        <f>#REF!</f>
        <v>#REF!</v>
      </c>
      <c r="AC41" s="45" t="e">
        <f>#REF!</f>
        <v>#REF!</v>
      </c>
      <c r="AD41" s="45">
        <f>FERNANDO!O41</f>
        <v>0</v>
      </c>
      <c r="AE41" s="45">
        <f>GABRIEL!O41</f>
        <v>0</v>
      </c>
      <c r="AF41" s="46" t="e">
        <f>#REF!</f>
        <v>#REF!</v>
      </c>
      <c r="AG41" s="45">
        <f>RICARDO!O41</f>
        <v>0</v>
      </c>
      <c r="AH41" s="45">
        <f>MARCIO!O41</f>
        <v>0</v>
      </c>
      <c r="AI41" s="45">
        <f>RENAN!O41</f>
        <v>4</v>
      </c>
      <c r="AJ41" s="45">
        <f>THIAGO!O41</f>
        <v>0</v>
      </c>
      <c r="AK41" s="45">
        <f>MARQUES!O41</f>
        <v>4</v>
      </c>
      <c r="AL41" s="46">
        <f>SOARES!O41</f>
        <v>0</v>
      </c>
      <c r="AM41" s="45">
        <f>GUSTAVO!O41</f>
        <v>0</v>
      </c>
    </row>
    <row r="42" spans="1:39" ht="15.6" x14ac:dyDescent="0.3">
      <c r="A42" s="127">
        <v>46195</v>
      </c>
      <c r="B42" s="128">
        <v>0.58333333333333337</v>
      </c>
      <c r="C42" s="129" t="s">
        <v>9</v>
      </c>
      <c r="D42" s="130">
        <v>2</v>
      </c>
      <c r="E42" s="130" t="s">
        <v>1</v>
      </c>
      <c r="F42" s="130">
        <v>0</v>
      </c>
      <c r="G42" s="129" t="s">
        <v>130</v>
      </c>
      <c r="H42" s="52"/>
      <c r="I42" s="5"/>
      <c r="J42" s="5"/>
      <c r="R42" s="12" t="str">
        <f t="shared" si="6"/>
        <v>Argentina</v>
      </c>
      <c r="S42" s="9">
        <f t="shared" si="7"/>
        <v>2</v>
      </c>
      <c r="T42" s="9">
        <f t="shared" si="8"/>
        <v>0</v>
      </c>
      <c r="AA42" s="45">
        <f>BERNARDO!O42</f>
        <v>6</v>
      </c>
      <c r="AB42" s="45" t="e">
        <f>#REF!</f>
        <v>#REF!</v>
      </c>
      <c r="AC42" s="45" t="e">
        <f>#REF!</f>
        <v>#REF!</v>
      </c>
      <c r="AD42" s="45">
        <f>FERNANDO!O42</f>
        <v>3</v>
      </c>
      <c r="AE42" s="45">
        <f>GABRIEL!O42</f>
        <v>9</v>
      </c>
      <c r="AF42" s="46" t="e">
        <f>#REF!</f>
        <v>#REF!</v>
      </c>
      <c r="AG42" s="45">
        <f>RICARDO!O42</f>
        <v>6</v>
      </c>
      <c r="AH42" s="45">
        <f>MARCIO!O42</f>
        <v>4</v>
      </c>
      <c r="AI42" s="45">
        <f>RENAN!O42</f>
        <v>6</v>
      </c>
      <c r="AJ42" s="45">
        <f>THIAGO!O42</f>
        <v>6</v>
      </c>
      <c r="AK42" s="45">
        <f>MARQUES!O42</f>
        <v>4</v>
      </c>
      <c r="AL42" s="46">
        <f>SOARES!O42</f>
        <v>6</v>
      </c>
      <c r="AM42" s="45">
        <f>GUSTAVO!O42</f>
        <v>6</v>
      </c>
    </row>
    <row r="43" spans="1:39" ht="15.6" x14ac:dyDescent="0.3">
      <c r="A43" s="127">
        <v>46195</v>
      </c>
      <c r="B43" s="128">
        <v>0.75</v>
      </c>
      <c r="C43" s="129" t="s">
        <v>7</v>
      </c>
      <c r="D43" s="130">
        <v>3</v>
      </c>
      <c r="E43" s="130" t="s">
        <v>1</v>
      </c>
      <c r="F43" s="130">
        <v>0</v>
      </c>
      <c r="G43" s="129" t="s">
        <v>127</v>
      </c>
      <c r="H43" s="52"/>
      <c r="I43" s="5"/>
      <c r="J43" s="5"/>
      <c r="R43" s="12" t="str">
        <f t="shared" si="6"/>
        <v>França</v>
      </c>
      <c r="S43" s="9">
        <f t="shared" si="7"/>
        <v>3</v>
      </c>
      <c r="T43" s="9">
        <f t="shared" si="8"/>
        <v>0</v>
      </c>
      <c r="AA43" s="45">
        <f>BERNARDO!O43</f>
        <v>9</v>
      </c>
      <c r="AB43" s="45" t="e">
        <f>#REF!</f>
        <v>#REF!</v>
      </c>
      <c r="AC43" s="45" t="e">
        <f>#REF!</f>
        <v>#REF!</v>
      </c>
      <c r="AD43" s="45">
        <f>FERNANDO!O43</f>
        <v>9</v>
      </c>
      <c r="AE43" s="45">
        <f>GABRIEL!O43</f>
        <v>4</v>
      </c>
      <c r="AF43" s="46" t="e">
        <f>#REF!</f>
        <v>#REF!</v>
      </c>
      <c r="AG43" s="45">
        <f>RICARDO!O43</f>
        <v>4</v>
      </c>
      <c r="AH43" s="45">
        <f>MARCIO!O43</f>
        <v>3</v>
      </c>
      <c r="AI43" s="45">
        <f>RENAN!O43</f>
        <v>4</v>
      </c>
      <c r="AJ43" s="45">
        <f>THIAGO!O43</f>
        <v>4</v>
      </c>
      <c r="AK43" s="45">
        <f>MARQUES!O43</f>
        <v>6</v>
      </c>
      <c r="AL43" s="46">
        <f>SOARES!O43</f>
        <v>9</v>
      </c>
      <c r="AM43" s="45">
        <f>GUSTAVO!O43</f>
        <v>9</v>
      </c>
    </row>
    <row r="44" spans="1:39" ht="15.6" x14ac:dyDescent="0.3">
      <c r="A44" s="127">
        <v>46195</v>
      </c>
      <c r="B44" s="128">
        <v>0.875</v>
      </c>
      <c r="C44" s="129" t="s">
        <v>128</v>
      </c>
      <c r="D44" s="130">
        <v>3</v>
      </c>
      <c r="E44" s="130" t="s">
        <v>1</v>
      </c>
      <c r="F44" s="130">
        <v>2</v>
      </c>
      <c r="G44" s="129" t="s">
        <v>20</v>
      </c>
      <c r="I44" s="5"/>
      <c r="J44" s="5"/>
      <c r="R44" s="12" t="str">
        <f t="shared" si="6"/>
        <v>Noruega</v>
      </c>
      <c r="S44" s="9">
        <f t="shared" si="7"/>
        <v>3</v>
      </c>
      <c r="T44" s="9">
        <f t="shared" si="8"/>
        <v>2</v>
      </c>
      <c r="AA44" s="45">
        <f>BERNARDO!O44</f>
        <v>0</v>
      </c>
      <c r="AB44" s="45" t="e">
        <f>#REF!</f>
        <v>#REF!</v>
      </c>
      <c r="AC44" s="45" t="e">
        <f>#REF!</f>
        <v>#REF!</v>
      </c>
      <c r="AD44" s="45">
        <f>FERNANDO!O44</f>
        <v>3</v>
      </c>
      <c r="AE44" s="45">
        <f>GABRIEL!O44</f>
        <v>3</v>
      </c>
      <c r="AF44" s="46" t="e">
        <f>#REF!</f>
        <v>#REF!</v>
      </c>
      <c r="AG44" s="45">
        <f>RICARDO!O44</f>
        <v>0</v>
      </c>
      <c r="AH44" s="45">
        <f>MARCIO!O44</f>
        <v>3</v>
      </c>
      <c r="AI44" s="45">
        <f>RENAN!O44</f>
        <v>0</v>
      </c>
      <c r="AJ44" s="45">
        <f>THIAGO!O44</f>
        <v>0</v>
      </c>
      <c r="AK44" s="45">
        <f>MARQUES!O44</f>
        <v>3</v>
      </c>
      <c r="AL44" s="46">
        <f>SOARES!O44</f>
        <v>3</v>
      </c>
      <c r="AM44" s="45">
        <f>GUSTAVO!O44</f>
        <v>3</v>
      </c>
    </row>
    <row r="45" spans="1:39" ht="15.6" x14ac:dyDescent="0.3">
      <c r="A45" s="127">
        <v>46196</v>
      </c>
      <c r="B45" s="128">
        <v>0</v>
      </c>
      <c r="C45" s="129" t="s">
        <v>131</v>
      </c>
      <c r="D45" s="130">
        <v>1</v>
      </c>
      <c r="E45" s="130" t="s">
        <v>1</v>
      </c>
      <c r="F45" s="130">
        <v>2</v>
      </c>
      <c r="G45" s="129" t="s">
        <v>129</v>
      </c>
      <c r="I45" s="5"/>
      <c r="J45" s="5"/>
      <c r="R45" s="12" t="str">
        <f t="shared" si="6"/>
        <v>Argélia</v>
      </c>
      <c r="S45" s="9">
        <f t="shared" si="7"/>
        <v>2</v>
      </c>
      <c r="T45" s="9">
        <f t="shared" si="8"/>
        <v>1</v>
      </c>
      <c r="AA45" s="45">
        <f>BERNARDO!O45</f>
        <v>0</v>
      </c>
      <c r="AB45" s="45" t="e">
        <f>#REF!</f>
        <v>#REF!</v>
      </c>
      <c r="AC45" s="45" t="e">
        <f>#REF!</f>
        <v>#REF!</v>
      </c>
      <c r="AD45" s="45">
        <f>FERNANDO!O45</f>
        <v>0</v>
      </c>
      <c r="AE45" s="45">
        <f>GABRIEL!O45</f>
        <v>0</v>
      </c>
      <c r="AF45" s="46" t="e">
        <f>#REF!</f>
        <v>#REF!</v>
      </c>
      <c r="AG45" s="45">
        <f>RICARDO!O45</f>
        <v>3</v>
      </c>
      <c r="AH45" s="45">
        <f>MARCIO!O45</f>
        <v>9</v>
      </c>
      <c r="AI45" s="45">
        <f>RENAN!O45</f>
        <v>3</v>
      </c>
      <c r="AJ45" s="45">
        <f>THIAGO!O45</f>
        <v>9</v>
      </c>
      <c r="AK45" s="45">
        <f>MARQUES!O45</f>
        <v>6</v>
      </c>
      <c r="AL45" s="46">
        <f>SOARES!O45</f>
        <v>3</v>
      </c>
      <c r="AM45" s="45">
        <f>GUSTAVO!O45</f>
        <v>0</v>
      </c>
    </row>
    <row r="46" spans="1:39" ht="15" customHeight="1" x14ac:dyDescent="0.3">
      <c r="A46" s="57">
        <v>46196</v>
      </c>
      <c r="B46" s="58">
        <v>0.58333333333333337</v>
      </c>
      <c r="C46" s="59" t="s">
        <v>5</v>
      </c>
      <c r="D46" s="60"/>
      <c r="E46" s="60" t="s">
        <v>1</v>
      </c>
      <c r="F46" s="60"/>
      <c r="G46" s="59" t="s">
        <v>133</v>
      </c>
      <c r="I46" s="5"/>
      <c r="J46" s="5"/>
      <c r="R46" s="12" t="str">
        <f t="shared" si="6"/>
        <v/>
      </c>
      <c r="S46" s="9" t="str">
        <f t="shared" si="7"/>
        <v/>
      </c>
      <c r="T46" s="9" t="str">
        <f t="shared" si="8"/>
        <v/>
      </c>
      <c r="AA46" s="45" t="str">
        <f>BERNARDO!O46</f>
        <v/>
      </c>
      <c r="AB46" s="45" t="e">
        <f>#REF!</f>
        <v>#REF!</v>
      </c>
      <c r="AC46" s="45" t="e">
        <f>#REF!</f>
        <v>#REF!</v>
      </c>
      <c r="AD46" s="45" t="str">
        <f>FERNANDO!O46</f>
        <v/>
      </c>
      <c r="AE46" s="45" t="str">
        <f>GABRIEL!O46</f>
        <v/>
      </c>
      <c r="AF46" s="46" t="e">
        <f>#REF!</f>
        <v>#REF!</v>
      </c>
      <c r="AG46" s="45" t="str">
        <f>RICARDO!O46</f>
        <v/>
      </c>
      <c r="AH46" s="45" t="str">
        <f>MARCIO!O46</f>
        <v/>
      </c>
      <c r="AI46" s="45" t="str">
        <f>RENAN!O46</f>
        <v/>
      </c>
      <c r="AJ46" s="45" t="str">
        <f>THIAGO!O46</f>
        <v/>
      </c>
      <c r="AK46" s="45" t="str">
        <f>MARQUES!O46</f>
        <v/>
      </c>
      <c r="AL46" s="46" t="str">
        <f>SOARES!O46</f>
        <v/>
      </c>
      <c r="AM46" s="45" t="str">
        <f>GUSTAVO!O46</f>
        <v/>
      </c>
    </row>
    <row r="47" spans="1:39" ht="15.6" x14ac:dyDescent="0.3">
      <c r="A47" s="57">
        <v>46196</v>
      </c>
      <c r="B47" s="58">
        <v>0.70833333333333337</v>
      </c>
      <c r="C47" s="59" t="s">
        <v>18</v>
      </c>
      <c r="D47" s="60"/>
      <c r="E47" s="60" t="s">
        <v>1</v>
      </c>
      <c r="F47" s="60"/>
      <c r="G47" s="59" t="s">
        <v>111</v>
      </c>
      <c r="I47" s="5"/>
      <c r="J47" s="5"/>
      <c r="R47" s="12" t="str">
        <f t="shared" si="6"/>
        <v/>
      </c>
      <c r="S47" s="9" t="str">
        <f t="shared" si="7"/>
        <v/>
      </c>
      <c r="T47" s="9" t="str">
        <f t="shared" si="8"/>
        <v/>
      </c>
      <c r="AA47" s="45" t="str">
        <f>BERNARDO!O47</f>
        <v/>
      </c>
      <c r="AB47" s="45" t="e">
        <f>#REF!</f>
        <v>#REF!</v>
      </c>
      <c r="AC47" s="45" t="e">
        <f>#REF!</f>
        <v>#REF!</v>
      </c>
      <c r="AD47" s="45" t="str">
        <f>FERNANDO!O47</f>
        <v/>
      </c>
      <c r="AE47" s="45" t="str">
        <f>GABRIEL!O47</f>
        <v/>
      </c>
      <c r="AF47" s="46" t="e">
        <f>#REF!</f>
        <v>#REF!</v>
      </c>
      <c r="AG47" s="45" t="str">
        <f>RICARDO!O47</f>
        <v/>
      </c>
      <c r="AH47" s="45" t="str">
        <f>MARCIO!O47</f>
        <v/>
      </c>
      <c r="AI47" s="45" t="str">
        <f>RENAN!O47</f>
        <v/>
      </c>
      <c r="AJ47" s="45" t="str">
        <f>THIAGO!O47</f>
        <v/>
      </c>
      <c r="AK47" s="45" t="str">
        <f>MARQUES!O47</f>
        <v/>
      </c>
      <c r="AL47" s="46" t="str">
        <f>SOARES!O47</f>
        <v/>
      </c>
      <c r="AM47" s="45" t="str">
        <f>GUSTAVO!O47</f>
        <v/>
      </c>
    </row>
    <row r="48" spans="1:39" ht="15.6" x14ac:dyDescent="0.3">
      <c r="A48" s="57">
        <v>46196</v>
      </c>
      <c r="B48" s="58">
        <v>0.83333333333333337</v>
      </c>
      <c r="C48" s="59" t="s">
        <v>135</v>
      </c>
      <c r="D48" s="60"/>
      <c r="E48" s="60" t="s">
        <v>1</v>
      </c>
      <c r="F48" s="60"/>
      <c r="G48" s="59" t="s">
        <v>10</v>
      </c>
      <c r="H48" s="55"/>
      <c r="I48" s="5"/>
      <c r="J48" s="5"/>
      <c r="R48" s="12" t="str">
        <f t="shared" si="6"/>
        <v/>
      </c>
      <c r="S48" s="9" t="str">
        <f t="shared" si="7"/>
        <v/>
      </c>
      <c r="T48" s="9" t="str">
        <f t="shared" si="8"/>
        <v/>
      </c>
      <c r="AA48" s="45" t="str">
        <f>BERNARDO!O48</f>
        <v/>
      </c>
      <c r="AB48" s="45" t="e">
        <f>#REF!</f>
        <v>#REF!</v>
      </c>
      <c r="AC48" s="45" t="e">
        <f>#REF!</f>
        <v>#REF!</v>
      </c>
      <c r="AD48" s="45" t="str">
        <f>FERNANDO!O48</f>
        <v/>
      </c>
      <c r="AE48" s="45" t="str">
        <f>GABRIEL!O48</f>
        <v/>
      </c>
      <c r="AF48" s="46" t="e">
        <f>#REF!</f>
        <v>#REF!</v>
      </c>
      <c r="AG48" s="45" t="str">
        <f>RICARDO!O48</f>
        <v/>
      </c>
      <c r="AH48" s="45" t="str">
        <f>MARCIO!O48</f>
        <v/>
      </c>
      <c r="AI48" s="45" t="str">
        <f>RENAN!O48</f>
        <v/>
      </c>
      <c r="AJ48" s="45" t="str">
        <f>THIAGO!O48</f>
        <v/>
      </c>
      <c r="AK48" s="45" t="str">
        <f>MARQUES!O48</f>
        <v/>
      </c>
      <c r="AL48" s="46" t="str">
        <f>SOARES!O48</f>
        <v/>
      </c>
      <c r="AM48" s="45" t="str">
        <f>GUSTAVO!O48</f>
        <v/>
      </c>
    </row>
    <row r="49" spans="1:39" ht="15.6" x14ac:dyDescent="0.3">
      <c r="A49" s="61">
        <v>46196</v>
      </c>
      <c r="B49" s="58">
        <v>0.95833333333333337</v>
      </c>
      <c r="C49" s="62" t="s">
        <v>134</v>
      </c>
      <c r="D49" s="63"/>
      <c r="E49" s="63" t="s">
        <v>1</v>
      </c>
      <c r="F49" s="63"/>
      <c r="G49" s="62" t="s">
        <v>132</v>
      </c>
      <c r="R49" s="12" t="str">
        <f t="shared" si="6"/>
        <v/>
      </c>
      <c r="S49" s="9" t="str">
        <f t="shared" si="7"/>
        <v/>
      </c>
      <c r="T49" s="9" t="str">
        <f t="shared" si="8"/>
        <v/>
      </c>
      <c r="AA49" s="45" t="str">
        <f>BERNARDO!O49</f>
        <v/>
      </c>
      <c r="AB49" s="45" t="e">
        <f>#REF!</f>
        <v>#REF!</v>
      </c>
      <c r="AC49" s="45" t="e">
        <f>#REF!</f>
        <v>#REF!</v>
      </c>
      <c r="AD49" s="45" t="str">
        <f>FERNANDO!O49</f>
        <v/>
      </c>
      <c r="AE49" s="45" t="str">
        <f>GABRIEL!O49</f>
        <v/>
      </c>
      <c r="AF49" s="46" t="e">
        <f>#REF!</f>
        <v>#REF!</v>
      </c>
      <c r="AG49" s="45" t="str">
        <f>RICARDO!O49</f>
        <v/>
      </c>
      <c r="AH49" s="45" t="str">
        <f>MARCIO!O49</f>
        <v/>
      </c>
      <c r="AI49" s="45" t="str">
        <f>RENAN!O49</f>
        <v/>
      </c>
      <c r="AJ49" s="45" t="str">
        <f>THIAGO!O49</f>
        <v/>
      </c>
      <c r="AK49" s="45" t="str">
        <f>MARQUES!O49</f>
        <v/>
      </c>
      <c r="AL49" s="46" t="str">
        <f>SOARES!O49</f>
        <v/>
      </c>
      <c r="AM49" s="45" t="str">
        <f>GUSTAVO!O49</f>
        <v/>
      </c>
    </row>
    <row r="50" spans="1:39" ht="15.6" x14ac:dyDescent="0.3">
      <c r="A50" s="131">
        <v>46197</v>
      </c>
      <c r="B50" s="132">
        <v>0.66666666666666663</v>
      </c>
      <c r="C50" s="133" t="s">
        <v>74</v>
      </c>
      <c r="D50" s="134"/>
      <c r="E50" s="134" t="s">
        <v>1</v>
      </c>
      <c r="F50" s="134"/>
      <c r="G50" s="133" t="s">
        <v>110</v>
      </c>
      <c r="H50" s="56"/>
      <c r="R50" s="12" t="str">
        <f t="shared" si="6"/>
        <v/>
      </c>
      <c r="S50" s="9" t="str">
        <f t="shared" si="7"/>
        <v/>
      </c>
      <c r="T50" s="9" t="str">
        <f t="shared" si="8"/>
        <v/>
      </c>
      <c r="AA50" s="45" t="str">
        <f>BERNARDO!O50</f>
        <v/>
      </c>
      <c r="AB50" s="45" t="e">
        <f>#REF!</f>
        <v>#REF!</v>
      </c>
      <c r="AC50" s="45" t="e">
        <f>#REF!</f>
        <v>#REF!</v>
      </c>
      <c r="AD50" s="45" t="str">
        <f>FERNANDO!O50</f>
        <v/>
      </c>
      <c r="AE50" s="45" t="str">
        <f>GABRIEL!O50</f>
        <v/>
      </c>
      <c r="AF50" s="46" t="e">
        <f>#REF!</f>
        <v>#REF!</v>
      </c>
      <c r="AG50" s="45" t="str">
        <f>RICARDO!O50</f>
        <v/>
      </c>
      <c r="AH50" s="45" t="str">
        <f>MARCIO!O50</f>
        <v/>
      </c>
      <c r="AI50" s="45" t="str">
        <f>RENAN!O50</f>
        <v/>
      </c>
      <c r="AJ50" s="45" t="str">
        <f>THIAGO!O50</f>
        <v/>
      </c>
      <c r="AK50" s="45" t="str">
        <f>MARQUES!O50</f>
        <v/>
      </c>
      <c r="AL50" s="46" t="str">
        <f>SOARES!O50</f>
        <v/>
      </c>
      <c r="AM50" s="45" t="str">
        <f>GUSTAVO!O50</f>
        <v/>
      </c>
    </row>
    <row r="51" spans="1:39" ht="15.6" x14ac:dyDescent="0.3">
      <c r="A51" s="131">
        <v>46197</v>
      </c>
      <c r="B51" s="132">
        <v>0.66666666666666663</v>
      </c>
      <c r="C51" s="133" t="s">
        <v>117</v>
      </c>
      <c r="D51" s="134"/>
      <c r="E51" s="134" t="s">
        <v>1</v>
      </c>
      <c r="F51" s="134"/>
      <c r="G51" s="133" t="s">
        <v>99</v>
      </c>
      <c r="R51" s="12" t="str">
        <f t="shared" si="6"/>
        <v/>
      </c>
      <c r="S51" s="9" t="str">
        <f t="shared" si="7"/>
        <v/>
      </c>
      <c r="T51" s="9" t="str">
        <f t="shared" si="8"/>
        <v/>
      </c>
      <c r="AA51" s="45" t="str">
        <f>BERNARDO!O51</f>
        <v/>
      </c>
      <c r="AB51" s="45" t="e">
        <f>#REF!</f>
        <v>#REF!</v>
      </c>
      <c r="AC51" s="45" t="e">
        <f>#REF!</f>
        <v>#REF!</v>
      </c>
      <c r="AD51" s="45" t="str">
        <f>FERNANDO!O51</f>
        <v/>
      </c>
      <c r="AE51" s="45" t="str">
        <f>GABRIEL!O51</f>
        <v/>
      </c>
      <c r="AF51" s="46" t="e">
        <f>#REF!</f>
        <v>#REF!</v>
      </c>
      <c r="AG51" s="45" t="str">
        <f>RICARDO!O51</f>
        <v/>
      </c>
      <c r="AH51" s="45" t="str">
        <f>MARCIO!O51</f>
        <v/>
      </c>
      <c r="AI51" s="45" t="str">
        <f>RENAN!O51</f>
        <v/>
      </c>
      <c r="AJ51" s="45" t="str">
        <f>THIAGO!O51</f>
        <v/>
      </c>
      <c r="AK51" s="45" t="str">
        <f>MARQUES!O51</f>
        <v/>
      </c>
      <c r="AL51" s="46" t="str">
        <f>SOARES!O51</f>
        <v/>
      </c>
      <c r="AM51" s="45" t="str">
        <f>GUSTAVO!O51</f>
        <v/>
      </c>
    </row>
    <row r="52" spans="1:39" ht="15.6" x14ac:dyDescent="0.3">
      <c r="A52" s="131">
        <v>46197</v>
      </c>
      <c r="B52" s="132">
        <v>0.79166666666666663</v>
      </c>
      <c r="C52" s="135" t="s">
        <v>4</v>
      </c>
      <c r="D52" s="134"/>
      <c r="E52" s="134" t="s">
        <v>1</v>
      </c>
      <c r="F52" s="134"/>
      <c r="G52" s="135" t="s">
        <v>118</v>
      </c>
      <c r="R52" s="12" t="str">
        <f t="shared" si="6"/>
        <v/>
      </c>
      <c r="S52" s="9" t="str">
        <f t="shared" si="7"/>
        <v/>
      </c>
      <c r="T52" s="9" t="str">
        <f t="shared" si="8"/>
        <v/>
      </c>
      <c r="AA52" s="45" t="str">
        <f>BERNARDO!O52</f>
        <v/>
      </c>
      <c r="AB52" s="45" t="e">
        <f>#REF!</f>
        <v>#REF!</v>
      </c>
      <c r="AC52" s="45" t="e">
        <f>#REF!</f>
        <v>#REF!</v>
      </c>
      <c r="AD52" s="45" t="str">
        <f>FERNANDO!O52</f>
        <v/>
      </c>
      <c r="AE52" s="45" t="str">
        <f>GABRIEL!O52</f>
        <v/>
      </c>
      <c r="AF52" s="46" t="e">
        <f>#REF!</f>
        <v>#REF!</v>
      </c>
      <c r="AG52" s="45" t="str">
        <f>RICARDO!O52</f>
        <v/>
      </c>
      <c r="AH52" s="45" t="str">
        <f>MARCIO!O52</f>
        <v/>
      </c>
      <c r="AI52" s="45" t="str">
        <f>RENAN!O52</f>
        <v/>
      </c>
      <c r="AJ52" s="45" t="str">
        <f>THIAGO!O52</f>
        <v/>
      </c>
      <c r="AK52" s="45" t="str">
        <f>MARQUES!O52</f>
        <v/>
      </c>
      <c r="AL52" s="46" t="str">
        <f>SOARES!O52</f>
        <v/>
      </c>
      <c r="AM52" s="45" t="str">
        <f>GUSTAVO!O52</f>
        <v/>
      </c>
    </row>
    <row r="53" spans="1:39" ht="15.6" x14ac:dyDescent="0.3">
      <c r="A53" s="131">
        <v>46197</v>
      </c>
      <c r="B53" s="132">
        <v>0.79166666666666663</v>
      </c>
      <c r="C53" s="135" t="s">
        <v>119</v>
      </c>
      <c r="D53" s="134"/>
      <c r="E53" s="134" t="s">
        <v>1</v>
      </c>
      <c r="F53" s="134"/>
      <c r="G53" s="135" t="s">
        <v>11</v>
      </c>
      <c r="R53" s="12" t="str">
        <f t="shared" si="6"/>
        <v/>
      </c>
      <c r="S53" s="9" t="str">
        <f t="shared" si="7"/>
        <v/>
      </c>
      <c r="T53" s="9" t="str">
        <f t="shared" si="8"/>
        <v/>
      </c>
      <c r="AA53" s="45" t="str">
        <f>BERNARDO!O53</f>
        <v/>
      </c>
      <c r="AB53" s="45" t="e">
        <f>#REF!</f>
        <v>#REF!</v>
      </c>
      <c r="AC53" s="45" t="e">
        <f>#REF!</f>
        <v>#REF!</v>
      </c>
      <c r="AD53" s="45" t="str">
        <f>FERNANDO!O53</f>
        <v/>
      </c>
      <c r="AE53" s="45" t="str">
        <f>GABRIEL!O53</f>
        <v/>
      </c>
      <c r="AF53" s="46" t="e">
        <f>#REF!</f>
        <v>#REF!</v>
      </c>
      <c r="AG53" s="45" t="str">
        <f>RICARDO!O53</f>
        <v/>
      </c>
      <c r="AH53" s="45" t="str">
        <f>MARCIO!O53</f>
        <v/>
      </c>
      <c r="AI53" s="45" t="str">
        <f>RENAN!O53</f>
        <v/>
      </c>
      <c r="AJ53" s="45" t="str">
        <f>THIAGO!O53</f>
        <v/>
      </c>
      <c r="AK53" s="45" t="str">
        <f>MARQUES!O53</f>
        <v/>
      </c>
      <c r="AL53" s="46" t="str">
        <f>SOARES!O53</f>
        <v/>
      </c>
      <c r="AM53" s="45" t="str">
        <f>GUSTAVO!O53</f>
        <v/>
      </c>
    </row>
    <row r="54" spans="1:39" ht="15.6" x14ac:dyDescent="0.3">
      <c r="A54" s="136">
        <v>46197</v>
      </c>
      <c r="B54" s="132">
        <v>0.91666666666666663</v>
      </c>
      <c r="C54" s="137" t="s">
        <v>90</v>
      </c>
      <c r="D54" s="138"/>
      <c r="E54" s="138" t="s">
        <v>1</v>
      </c>
      <c r="F54" s="138"/>
      <c r="G54" s="137" t="s">
        <v>15</v>
      </c>
      <c r="R54" s="12" t="str">
        <f t="shared" si="6"/>
        <v/>
      </c>
      <c r="S54" s="9" t="str">
        <f>IF(D54="","",IF(D54&gt;F54,D54,IF(F54&gt;D54,F54,D54)))</f>
        <v/>
      </c>
      <c r="T54" s="9" t="str">
        <f t="shared" si="8"/>
        <v/>
      </c>
      <c r="AA54" s="45" t="str">
        <f>BERNARDO!O54</f>
        <v/>
      </c>
      <c r="AB54" s="45" t="e">
        <f>#REF!</f>
        <v>#REF!</v>
      </c>
      <c r="AC54" s="45" t="e">
        <f>#REF!</f>
        <v>#REF!</v>
      </c>
      <c r="AD54" s="45" t="str">
        <f>FERNANDO!O54</f>
        <v/>
      </c>
      <c r="AE54" s="45" t="str">
        <f>GABRIEL!O54</f>
        <v/>
      </c>
      <c r="AF54" s="46" t="e">
        <f>#REF!</f>
        <v>#REF!</v>
      </c>
      <c r="AG54" s="45" t="str">
        <f>RICARDO!O54</f>
        <v/>
      </c>
      <c r="AH54" s="45" t="str">
        <f>MARCIO!O54</f>
        <v/>
      </c>
      <c r="AI54" s="45" t="str">
        <f>RENAN!O54</f>
        <v/>
      </c>
      <c r="AJ54" s="45" t="str">
        <f>THIAGO!O54</f>
        <v/>
      </c>
      <c r="AK54" s="45" t="str">
        <f>MARQUES!O54</f>
        <v/>
      </c>
      <c r="AL54" s="46" t="str">
        <f>SOARES!O54</f>
        <v/>
      </c>
      <c r="AM54" s="45" t="str">
        <f>GUSTAVO!O54</f>
        <v/>
      </c>
    </row>
    <row r="55" spans="1:39" ht="15.6" x14ac:dyDescent="0.3">
      <c r="A55" s="136">
        <v>46197</v>
      </c>
      <c r="B55" s="132">
        <v>0.91666666666666663</v>
      </c>
      <c r="C55" s="137" t="s">
        <v>116</v>
      </c>
      <c r="D55" s="138"/>
      <c r="E55" s="138" t="s">
        <v>1</v>
      </c>
      <c r="F55" s="138"/>
      <c r="G55" s="137" t="s">
        <v>13</v>
      </c>
      <c r="R55" s="12" t="str">
        <f t="shared" si="6"/>
        <v/>
      </c>
      <c r="S55" s="9" t="str">
        <f>IF(D55="","",IF(D55&gt;F55,D55,IF(F55&gt;D55,F55,D55)))</f>
        <v/>
      </c>
      <c r="T55" s="9" t="str">
        <f t="shared" si="8"/>
        <v/>
      </c>
      <c r="AA55" s="45" t="str">
        <f>BERNARDO!O55</f>
        <v/>
      </c>
      <c r="AB55" s="45" t="e">
        <f>#REF!</f>
        <v>#REF!</v>
      </c>
      <c r="AC55" s="45" t="e">
        <f>#REF!</f>
        <v>#REF!</v>
      </c>
      <c r="AD55" s="45" t="str">
        <f>FERNANDO!O55</f>
        <v/>
      </c>
      <c r="AE55" s="45" t="str">
        <f>GABRIEL!O55</f>
        <v/>
      </c>
      <c r="AF55" s="46" t="e">
        <f>#REF!</f>
        <v>#REF!</v>
      </c>
      <c r="AG55" s="45" t="str">
        <f>RICARDO!O55</f>
        <v/>
      </c>
      <c r="AH55" s="45" t="str">
        <f>MARCIO!O55</f>
        <v/>
      </c>
      <c r="AI55" s="45" t="str">
        <f>RENAN!O55</f>
        <v/>
      </c>
      <c r="AJ55" s="45" t="str">
        <f>THIAGO!O55</f>
        <v/>
      </c>
      <c r="AK55" s="45" t="str">
        <f>MARQUES!O55</f>
        <v/>
      </c>
      <c r="AL55" s="46" t="str">
        <f>SOARES!O55</f>
        <v/>
      </c>
      <c r="AM55" s="45" t="str">
        <f>GUSTAVO!O55</f>
        <v/>
      </c>
    </row>
    <row r="56" spans="1:39" ht="15.6" x14ac:dyDescent="0.3">
      <c r="A56" s="136">
        <v>46198</v>
      </c>
      <c r="B56" s="132">
        <v>0.70833333333333337</v>
      </c>
      <c r="C56" s="139" t="s">
        <v>107</v>
      </c>
      <c r="D56" s="138"/>
      <c r="E56" s="138" t="s">
        <v>1</v>
      </c>
      <c r="F56" s="138"/>
      <c r="G56" s="139" t="s">
        <v>12</v>
      </c>
      <c r="R56" s="12" t="str">
        <f t="shared" si="6"/>
        <v/>
      </c>
      <c r="S56" s="9" t="str">
        <f t="shared" si="7"/>
        <v/>
      </c>
      <c r="T56" s="9" t="str">
        <f t="shared" si="8"/>
        <v/>
      </c>
      <c r="AA56" s="45" t="str">
        <f>BERNARDO!O56</f>
        <v/>
      </c>
      <c r="AB56" s="45" t="e">
        <f>#REF!</f>
        <v>#REF!</v>
      </c>
      <c r="AC56" s="45" t="e">
        <f>#REF!</f>
        <v>#REF!</v>
      </c>
      <c r="AD56" s="45" t="str">
        <f>FERNANDO!O56</f>
        <v/>
      </c>
      <c r="AE56" s="45" t="str">
        <f>GABRIEL!O56</f>
        <v/>
      </c>
      <c r="AF56" s="46" t="e">
        <f>#REF!</f>
        <v>#REF!</v>
      </c>
      <c r="AG56" s="45" t="str">
        <f>RICARDO!O56</f>
        <v/>
      </c>
      <c r="AH56" s="45" t="str">
        <f>MARCIO!O56</f>
        <v/>
      </c>
      <c r="AI56" s="45" t="str">
        <f>RENAN!O56</f>
        <v/>
      </c>
      <c r="AJ56" s="45" t="str">
        <f>THIAGO!O56</f>
        <v/>
      </c>
      <c r="AK56" s="45" t="str">
        <f>MARQUES!O56</f>
        <v/>
      </c>
      <c r="AL56" s="46" t="str">
        <f>SOARES!O56</f>
        <v/>
      </c>
      <c r="AM56" s="45" t="str">
        <f>GUSTAVO!O56</f>
        <v/>
      </c>
    </row>
    <row r="57" spans="1:39" ht="15.6" x14ac:dyDescent="0.3">
      <c r="A57" s="136">
        <v>46198</v>
      </c>
      <c r="B57" s="132">
        <v>0.70833333333333337</v>
      </c>
      <c r="C57" s="139" t="s">
        <v>122</v>
      </c>
      <c r="D57" s="138"/>
      <c r="E57" s="138" t="s">
        <v>1</v>
      </c>
      <c r="F57" s="138"/>
      <c r="G57" s="139" t="s">
        <v>123</v>
      </c>
      <c r="R57" s="12" t="str">
        <f t="shared" si="6"/>
        <v/>
      </c>
      <c r="S57" s="9" t="str">
        <f t="shared" si="7"/>
        <v/>
      </c>
      <c r="T57" s="9" t="str">
        <f t="shared" si="8"/>
        <v/>
      </c>
      <c r="AA57" s="45" t="str">
        <f>BERNARDO!O57</f>
        <v/>
      </c>
      <c r="AB57" s="45" t="e">
        <f>#REF!</f>
        <v>#REF!</v>
      </c>
      <c r="AC57" s="45" t="e">
        <f>#REF!</f>
        <v>#REF!</v>
      </c>
      <c r="AD57" s="45" t="str">
        <f>FERNANDO!O57</f>
        <v/>
      </c>
      <c r="AE57" s="45" t="str">
        <f>GABRIEL!O57</f>
        <v/>
      </c>
      <c r="AF57" s="46" t="e">
        <f>#REF!</f>
        <v>#REF!</v>
      </c>
      <c r="AG57" s="45" t="str">
        <f>RICARDO!O57</f>
        <v/>
      </c>
      <c r="AH57" s="45" t="str">
        <f>MARCIO!O57</f>
        <v/>
      </c>
      <c r="AI57" s="45" t="str">
        <f>RENAN!O57</f>
        <v/>
      </c>
      <c r="AJ57" s="45" t="str">
        <f>THIAGO!O57</f>
        <v/>
      </c>
      <c r="AK57" s="45" t="str">
        <f>MARQUES!O57</f>
        <v/>
      </c>
      <c r="AL57" s="46" t="str">
        <f>SOARES!O57</f>
        <v/>
      </c>
      <c r="AM57" s="45" t="str">
        <f>GUSTAVO!O57</f>
        <v/>
      </c>
    </row>
    <row r="58" spans="1:39" ht="15.6" x14ac:dyDescent="0.3">
      <c r="A58" s="136">
        <v>46198</v>
      </c>
      <c r="B58" s="132">
        <v>0.83333333333333337</v>
      </c>
      <c r="C58" s="139" t="s">
        <v>17</v>
      </c>
      <c r="D58" s="138"/>
      <c r="E58" s="138" t="s">
        <v>1</v>
      </c>
      <c r="F58" s="138"/>
      <c r="G58" s="139" t="s">
        <v>80</v>
      </c>
      <c r="R58" s="12" t="str">
        <f t="shared" si="6"/>
        <v/>
      </c>
      <c r="S58" s="9" t="str">
        <f t="shared" si="7"/>
        <v/>
      </c>
      <c r="T58" s="9" t="str">
        <f t="shared" si="8"/>
        <v/>
      </c>
      <c r="AA58" s="45" t="str">
        <f>BERNARDO!O58</f>
        <v/>
      </c>
      <c r="AB58" s="45" t="e">
        <f>#REF!</f>
        <v>#REF!</v>
      </c>
      <c r="AC58" s="45" t="e">
        <f>#REF!</f>
        <v>#REF!</v>
      </c>
      <c r="AD58" s="45" t="str">
        <f>FERNANDO!O58</f>
        <v/>
      </c>
      <c r="AE58" s="45" t="str">
        <f>GABRIEL!O58</f>
        <v/>
      </c>
      <c r="AF58" s="46" t="e">
        <f>#REF!</f>
        <v>#REF!</v>
      </c>
      <c r="AG58" s="45" t="str">
        <f>RICARDO!O58</f>
        <v/>
      </c>
      <c r="AH58" s="45" t="str">
        <f>MARCIO!O58</f>
        <v/>
      </c>
      <c r="AI58" s="45" t="str">
        <f>RENAN!O58</f>
        <v/>
      </c>
      <c r="AJ58" s="45" t="str">
        <f>THIAGO!O58</f>
        <v/>
      </c>
      <c r="AK58" s="45" t="str">
        <f>MARQUES!O58</f>
        <v/>
      </c>
      <c r="AL58" s="46" t="str">
        <f>SOARES!O58</f>
        <v/>
      </c>
      <c r="AM58" s="45" t="str">
        <f>GUSTAVO!O58</f>
        <v/>
      </c>
    </row>
    <row r="59" spans="1:39" ht="15.6" x14ac:dyDescent="0.3">
      <c r="A59" s="136">
        <v>46198</v>
      </c>
      <c r="B59" s="132">
        <v>0.83333333333333337</v>
      </c>
      <c r="C59" s="139" t="s">
        <v>19</v>
      </c>
      <c r="D59" s="138"/>
      <c r="E59" s="138" t="s">
        <v>1</v>
      </c>
      <c r="F59" s="138"/>
      <c r="G59" s="139" t="s">
        <v>14</v>
      </c>
      <c r="R59" s="12" t="str">
        <f t="shared" si="6"/>
        <v/>
      </c>
      <c r="S59" s="9" t="str">
        <f t="shared" si="7"/>
        <v/>
      </c>
      <c r="T59" s="9" t="str">
        <f t="shared" si="8"/>
        <v/>
      </c>
      <c r="AA59" s="45" t="str">
        <f>BERNARDO!O59</f>
        <v/>
      </c>
      <c r="AB59" s="45" t="e">
        <f>#REF!</f>
        <v>#REF!</v>
      </c>
      <c r="AC59" s="45" t="e">
        <f>#REF!</f>
        <v>#REF!</v>
      </c>
      <c r="AD59" s="45" t="str">
        <f>FERNANDO!O59</f>
        <v/>
      </c>
      <c r="AE59" s="45" t="str">
        <f>GABRIEL!O59</f>
        <v/>
      </c>
      <c r="AF59" s="46" t="e">
        <f>#REF!</f>
        <v>#REF!</v>
      </c>
      <c r="AG59" s="45" t="str">
        <f>RICARDO!O59</f>
        <v/>
      </c>
      <c r="AH59" s="45" t="str">
        <f>MARCIO!O59</f>
        <v/>
      </c>
      <c r="AI59" s="45" t="str">
        <f>RENAN!O59</f>
        <v/>
      </c>
      <c r="AJ59" s="45" t="str">
        <f>THIAGO!O59</f>
        <v/>
      </c>
      <c r="AK59" s="45" t="str">
        <f>MARQUES!O59</f>
        <v/>
      </c>
      <c r="AL59" s="46" t="str">
        <f>SOARES!O59</f>
        <v/>
      </c>
      <c r="AM59" s="45" t="str">
        <f>GUSTAVO!O59</f>
        <v/>
      </c>
    </row>
    <row r="60" spans="1:39" ht="15.6" x14ac:dyDescent="0.3">
      <c r="A60" s="136">
        <v>46198</v>
      </c>
      <c r="B60" s="132">
        <v>0.95833333333333337</v>
      </c>
      <c r="C60" s="139" t="s">
        <v>121</v>
      </c>
      <c r="D60" s="138"/>
      <c r="E60" s="138" t="s">
        <v>1</v>
      </c>
      <c r="F60" s="138"/>
      <c r="G60" s="139" t="s">
        <v>109</v>
      </c>
      <c r="R60" s="12" t="str">
        <f t="shared" si="6"/>
        <v/>
      </c>
      <c r="S60" s="9" t="str">
        <f t="shared" si="7"/>
        <v/>
      </c>
      <c r="T60" s="9" t="str">
        <f t="shared" si="8"/>
        <v/>
      </c>
      <c r="AA60" s="45" t="str">
        <f>BERNARDO!O60</f>
        <v/>
      </c>
      <c r="AB60" s="45" t="e">
        <f>#REF!</f>
        <v>#REF!</v>
      </c>
      <c r="AC60" s="45" t="e">
        <f>#REF!</f>
        <v>#REF!</v>
      </c>
      <c r="AD60" s="45" t="str">
        <f>FERNANDO!O60</f>
        <v/>
      </c>
      <c r="AE60" s="45" t="str">
        <f>GABRIEL!O60</f>
        <v/>
      </c>
      <c r="AF60" s="46" t="e">
        <f>#REF!</f>
        <v>#REF!</v>
      </c>
      <c r="AG60" s="45" t="str">
        <f>RICARDO!O60</f>
        <v/>
      </c>
      <c r="AH60" s="45" t="str">
        <f>MARCIO!O60</f>
        <v/>
      </c>
      <c r="AI60" s="45" t="str">
        <f>RENAN!O60</f>
        <v/>
      </c>
      <c r="AJ60" s="45" t="str">
        <f>THIAGO!O60</f>
        <v/>
      </c>
      <c r="AK60" s="45" t="str">
        <f>MARQUES!O60</f>
        <v/>
      </c>
      <c r="AL60" s="46" t="str">
        <f>SOARES!O60</f>
        <v/>
      </c>
      <c r="AM60" s="45" t="str">
        <f>GUSTAVO!O60</f>
        <v/>
      </c>
    </row>
    <row r="61" spans="1:39" ht="15.6" x14ac:dyDescent="0.3">
      <c r="A61" s="136">
        <v>46198</v>
      </c>
      <c r="B61" s="132">
        <v>0.95833333333333337</v>
      </c>
      <c r="C61" s="139" t="s">
        <v>120</v>
      </c>
      <c r="D61" s="138"/>
      <c r="E61" s="138" t="s">
        <v>1</v>
      </c>
      <c r="F61" s="138"/>
      <c r="G61" s="139" t="s">
        <v>8</v>
      </c>
      <c r="R61" s="12" t="str">
        <f t="shared" si="6"/>
        <v/>
      </c>
      <c r="S61" s="9" t="str">
        <f t="shared" si="7"/>
        <v/>
      </c>
      <c r="T61" s="9" t="str">
        <f t="shared" si="8"/>
        <v/>
      </c>
      <c r="AA61" s="45" t="str">
        <f>BERNARDO!O61</f>
        <v/>
      </c>
      <c r="AB61" s="45" t="e">
        <f>#REF!</f>
        <v>#REF!</v>
      </c>
      <c r="AC61" s="45" t="e">
        <f>#REF!</f>
        <v>#REF!</v>
      </c>
      <c r="AD61" s="45" t="str">
        <f>FERNANDO!O61</f>
        <v/>
      </c>
      <c r="AE61" s="45" t="str">
        <f>GABRIEL!O61</f>
        <v/>
      </c>
      <c r="AF61" s="46" t="e">
        <f>#REF!</f>
        <v>#REF!</v>
      </c>
      <c r="AG61" s="45" t="str">
        <f>RICARDO!O61</f>
        <v/>
      </c>
      <c r="AH61" s="45" t="str">
        <f>MARCIO!O61</f>
        <v/>
      </c>
      <c r="AI61" s="45" t="str">
        <f>RENAN!O61</f>
        <v/>
      </c>
      <c r="AJ61" s="45" t="str">
        <f>THIAGO!O61</f>
        <v/>
      </c>
      <c r="AK61" s="45" t="str">
        <f>MARQUES!O61</f>
        <v/>
      </c>
      <c r="AL61" s="46" t="str">
        <f>SOARES!O61</f>
        <v/>
      </c>
      <c r="AM61" s="45" t="str">
        <f>GUSTAVO!O61</f>
        <v/>
      </c>
    </row>
    <row r="62" spans="1:39" ht="15.6" x14ac:dyDescent="0.3">
      <c r="A62" s="136">
        <v>46199</v>
      </c>
      <c r="B62" s="132">
        <v>0.66666666666666663</v>
      </c>
      <c r="C62" s="139" t="s">
        <v>20</v>
      </c>
      <c r="D62" s="138"/>
      <c r="E62" s="138" t="s">
        <v>1</v>
      </c>
      <c r="F62" s="138"/>
      <c r="G62" s="139" t="s">
        <v>127</v>
      </c>
      <c r="R62" s="12" t="str">
        <f t="shared" si="6"/>
        <v/>
      </c>
      <c r="S62" s="9" t="str">
        <f t="shared" si="7"/>
        <v/>
      </c>
      <c r="T62" s="9" t="str">
        <f t="shared" si="8"/>
        <v/>
      </c>
      <c r="AA62" s="45" t="str">
        <f>BERNARDO!O62</f>
        <v/>
      </c>
      <c r="AB62" s="45" t="e">
        <f>#REF!</f>
        <v>#REF!</v>
      </c>
      <c r="AC62" s="45" t="e">
        <f>#REF!</f>
        <v>#REF!</v>
      </c>
      <c r="AD62" s="45" t="str">
        <f>FERNANDO!O62</f>
        <v/>
      </c>
      <c r="AE62" s="45" t="str">
        <f>GABRIEL!O62</f>
        <v/>
      </c>
      <c r="AF62" s="46" t="e">
        <f>#REF!</f>
        <v>#REF!</v>
      </c>
      <c r="AG62" s="45" t="str">
        <f>RICARDO!O62</f>
        <v/>
      </c>
      <c r="AH62" s="45" t="str">
        <f>MARCIO!O62</f>
        <v/>
      </c>
      <c r="AI62" s="45" t="str">
        <f>RENAN!O62</f>
        <v/>
      </c>
      <c r="AJ62" s="45" t="str">
        <f>THIAGO!O62</f>
        <v/>
      </c>
      <c r="AK62" s="45" t="str">
        <f>MARQUES!O62</f>
        <v/>
      </c>
      <c r="AL62" s="46" t="str">
        <f>SOARES!O62</f>
        <v/>
      </c>
      <c r="AM62" s="45" t="str">
        <f>GUSTAVO!O62</f>
        <v/>
      </c>
    </row>
    <row r="63" spans="1:39" ht="15.6" x14ac:dyDescent="0.3">
      <c r="A63" s="136">
        <v>46199</v>
      </c>
      <c r="B63" s="132">
        <v>0.66666666666666663</v>
      </c>
      <c r="C63" s="139" t="s">
        <v>128</v>
      </c>
      <c r="D63" s="138"/>
      <c r="E63" s="138" t="s">
        <v>1</v>
      </c>
      <c r="F63" s="138"/>
      <c r="G63" s="139" t="s">
        <v>7</v>
      </c>
      <c r="R63" s="12" t="str">
        <f t="shared" si="6"/>
        <v/>
      </c>
      <c r="S63" s="9" t="str">
        <f t="shared" si="7"/>
        <v/>
      </c>
      <c r="T63" s="9" t="str">
        <f t="shared" si="8"/>
        <v/>
      </c>
      <c r="AA63" s="45" t="str">
        <f>BERNARDO!O63</f>
        <v/>
      </c>
      <c r="AB63" s="45" t="e">
        <f>#REF!</f>
        <v>#REF!</v>
      </c>
      <c r="AC63" s="45" t="e">
        <f>#REF!</f>
        <v>#REF!</v>
      </c>
      <c r="AD63" s="45" t="str">
        <f>FERNANDO!O63</f>
        <v/>
      </c>
      <c r="AE63" s="45" t="str">
        <f>GABRIEL!O63</f>
        <v/>
      </c>
      <c r="AF63" s="46" t="e">
        <f>#REF!</f>
        <v>#REF!</v>
      </c>
      <c r="AG63" s="45" t="str">
        <f>RICARDO!O63</f>
        <v/>
      </c>
      <c r="AH63" s="45" t="str">
        <f>MARCIO!O63</f>
        <v/>
      </c>
      <c r="AI63" s="45" t="str">
        <f>RENAN!O63</f>
        <v/>
      </c>
      <c r="AJ63" s="45" t="str">
        <f>THIAGO!O63</f>
        <v/>
      </c>
      <c r="AK63" s="45" t="str">
        <f>MARQUES!O63</f>
        <v/>
      </c>
      <c r="AL63" s="46" t="str">
        <f>SOARES!O63</f>
        <v/>
      </c>
      <c r="AM63" s="45" t="str">
        <f>GUSTAVO!O63</f>
        <v/>
      </c>
    </row>
    <row r="64" spans="1:39" ht="15.6" x14ac:dyDescent="0.3">
      <c r="A64" s="136">
        <v>46199</v>
      </c>
      <c r="B64" s="132">
        <v>0.875</v>
      </c>
      <c r="C64" s="139" t="s">
        <v>126</v>
      </c>
      <c r="D64" s="138"/>
      <c r="E64" s="138" t="s">
        <v>1</v>
      </c>
      <c r="F64" s="138"/>
      <c r="G64" s="139" t="s">
        <v>2</v>
      </c>
      <c r="R64" s="12" t="str">
        <f t="shared" si="6"/>
        <v/>
      </c>
      <c r="S64" s="9" t="str">
        <f t="shared" si="7"/>
        <v/>
      </c>
      <c r="T64" s="9" t="str">
        <f t="shared" si="8"/>
        <v/>
      </c>
      <c r="AA64" s="45" t="str">
        <f>BERNARDO!O64</f>
        <v/>
      </c>
      <c r="AB64" s="45" t="e">
        <f>#REF!</f>
        <v>#REF!</v>
      </c>
      <c r="AC64" s="45" t="e">
        <f>#REF!</f>
        <v>#REF!</v>
      </c>
      <c r="AD64" s="45" t="str">
        <f>FERNANDO!O64</f>
        <v/>
      </c>
      <c r="AE64" s="45" t="str">
        <f>GABRIEL!O64</f>
        <v/>
      </c>
      <c r="AF64" s="46" t="e">
        <f>#REF!</f>
        <v>#REF!</v>
      </c>
      <c r="AG64" s="45" t="str">
        <f>RICARDO!O64</f>
        <v/>
      </c>
      <c r="AH64" s="45" t="str">
        <f>MARCIO!O64</f>
        <v/>
      </c>
      <c r="AI64" s="45" t="str">
        <f>RENAN!O64</f>
        <v/>
      </c>
      <c r="AJ64" s="45" t="str">
        <f>THIAGO!O64</f>
        <v/>
      </c>
      <c r="AK64" s="45" t="str">
        <f>MARQUES!O64</f>
        <v/>
      </c>
      <c r="AL64" s="46" t="str">
        <f>SOARES!O64</f>
        <v/>
      </c>
      <c r="AM64" s="45" t="str">
        <f>GUSTAVO!O64</f>
        <v/>
      </c>
    </row>
    <row r="65" spans="1:39" ht="15.6" x14ac:dyDescent="0.3">
      <c r="A65" s="136">
        <v>46199</v>
      </c>
      <c r="B65" s="132">
        <v>0.875</v>
      </c>
      <c r="C65" s="139" t="s">
        <v>3</v>
      </c>
      <c r="D65" s="138"/>
      <c r="E65" s="138" t="s">
        <v>1</v>
      </c>
      <c r="F65" s="138"/>
      <c r="G65" s="139" t="s">
        <v>6</v>
      </c>
      <c r="R65" s="12" t="str">
        <f t="shared" si="6"/>
        <v/>
      </c>
      <c r="S65" s="9" t="str">
        <f t="shared" si="7"/>
        <v/>
      </c>
      <c r="T65" s="9" t="str">
        <f t="shared" si="8"/>
        <v/>
      </c>
      <c r="AA65" s="45" t="str">
        <f>BERNARDO!O65</f>
        <v/>
      </c>
      <c r="AB65" s="45" t="e">
        <f>#REF!</f>
        <v>#REF!</v>
      </c>
      <c r="AC65" s="45" t="e">
        <f>#REF!</f>
        <v>#REF!</v>
      </c>
      <c r="AD65" s="45" t="str">
        <f>FERNANDO!O65</f>
        <v/>
      </c>
      <c r="AE65" s="45" t="str">
        <f>GABRIEL!O65</f>
        <v/>
      </c>
      <c r="AF65" s="46" t="e">
        <f>#REF!</f>
        <v>#REF!</v>
      </c>
      <c r="AG65" s="45" t="str">
        <f>RICARDO!O65</f>
        <v/>
      </c>
      <c r="AH65" s="45" t="str">
        <f>MARCIO!O65</f>
        <v/>
      </c>
      <c r="AI65" s="45" t="str">
        <f>RENAN!O65</f>
        <v/>
      </c>
      <c r="AJ65" s="45" t="str">
        <f>THIAGO!O65</f>
        <v/>
      </c>
      <c r="AK65" s="45" t="str">
        <f>MARQUES!O65</f>
        <v/>
      </c>
      <c r="AL65" s="46" t="str">
        <f>SOARES!O65</f>
        <v/>
      </c>
      <c r="AM65" s="45" t="str">
        <f>GUSTAVO!O65</f>
        <v/>
      </c>
    </row>
    <row r="66" spans="1:39" x14ac:dyDescent="0.3">
      <c r="A66" s="136">
        <v>46200</v>
      </c>
      <c r="B66" s="132">
        <v>0</v>
      </c>
      <c r="C66" s="139" t="s">
        <v>124</v>
      </c>
      <c r="D66" s="138"/>
      <c r="E66" s="138" t="s">
        <v>1</v>
      </c>
      <c r="F66" s="138"/>
      <c r="G66" s="139" t="s">
        <v>108</v>
      </c>
      <c r="R66" s="12" t="str">
        <f t="shared" si="6"/>
        <v/>
      </c>
      <c r="S66" s="9" t="str">
        <f t="shared" si="7"/>
        <v/>
      </c>
      <c r="T66" s="9" t="str">
        <f t="shared" si="8"/>
        <v/>
      </c>
    </row>
    <row r="67" spans="1:39" x14ac:dyDescent="0.3">
      <c r="A67" s="136">
        <v>46200</v>
      </c>
      <c r="B67" s="132">
        <v>0</v>
      </c>
      <c r="C67" s="139" t="s">
        <v>125</v>
      </c>
      <c r="D67" s="138"/>
      <c r="E67" s="138" t="s">
        <v>1</v>
      </c>
      <c r="F67" s="138"/>
      <c r="G67" s="139" t="s">
        <v>16</v>
      </c>
      <c r="R67" s="12" t="str">
        <f t="shared" si="6"/>
        <v/>
      </c>
      <c r="S67" s="9" t="str">
        <f t="shared" si="7"/>
        <v/>
      </c>
      <c r="T67" s="9" t="str">
        <f t="shared" si="8"/>
        <v/>
      </c>
    </row>
    <row r="68" spans="1:39" x14ac:dyDescent="0.3">
      <c r="A68" s="136">
        <v>46200</v>
      </c>
      <c r="B68" s="132">
        <v>0.75</v>
      </c>
      <c r="C68" s="139" t="s">
        <v>10</v>
      </c>
      <c r="D68" s="138"/>
      <c r="E68" s="138" t="s">
        <v>1</v>
      </c>
      <c r="F68" s="138"/>
      <c r="G68" s="139" t="s">
        <v>111</v>
      </c>
      <c r="R68" s="12" t="str">
        <f t="shared" si="6"/>
        <v/>
      </c>
      <c r="S68" s="9" t="str">
        <f t="shared" si="7"/>
        <v/>
      </c>
      <c r="T68" s="9" t="str">
        <f t="shared" si="8"/>
        <v/>
      </c>
    </row>
    <row r="69" spans="1:39" x14ac:dyDescent="0.3">
      <c r="A69" s="136">
        <v>46200</v>
      </c>
      <c r="B69" s="132">
        <v>0.75</v>
      </c>
      <c r="C69" s="139" t="s">
        <v>135</v>
      </c>
      <c r="D69" s="138"/>
      <c r="E69" s="138" t="s">
        <v>1</v>
      </c>
      <c r="F69" s="138"/>
      <c r="G69" s="139" t="s">
        <v>18</v>
      </c>
      <c r="R69" s="12" t="str">
        <f t="shared" si="6"/>
        <v/>
      </c>
      <c r="S69" s="9" t="str">
        <f t="shared" si="7"/>
        <v/>
      </c>
      <c r="T69" s="9" t="str">
        <f t="shared" si="8"/>
        <v/>
      </c>
    </row>
    <row r="70" spans="1:39" x14ac:dyDescent="0.3">
      <c r="A70" s="136">
        <v>46200</v>
      </c>
      <c r="B70" s="132">
        <v>0.85416666666666663</v>
      </c>
      <c r="C70" s="139" t="s">
        <v>132</v>
      </c>
      <c r="D70" s="138"/>
      <c r="E70" s="138" t="s">
        <v>1</v>
      </c>
      <c r="F70" s="138"/>
      <c r="G70" s="139" t="s">
        <v>133</v>
      </c>
      <c r="R70" s="12" t="str">
        <f t="shared" si="6"/>
        <v/>
      </c>
      <c r="S70" s="9" t="str">
        <f t="shared" si="7"/>
        <v/>
      </c>
      <c r="T70" s="9" t="str">
        <f t="shared" si="8"/>
        <v/>
      </c>
    </row>
    <row r="71" spans="1:39" x14ac:dyDescent="0.3">
      <c r="A71" s="136">
        <v>46200</v>
      </c>
      <c r="B71" s="132">
        <v>0.85416666666666663</v>
      </c>
      <c r="C71" s="139" t="s">
        <v>134</v>
      </c>
      <c r="D71" s="138"/>
      <c r="E71" s="138" t="s">
        <v>1</v>
      </c>
      <c r="F71" s="138"/>
      <c r="G71" s="139" t="s">
        <v>5</v>
      </c>
      <c r="R71" s="12" t="str">
        <f t="shared" ref="R71:R86" si="9">IF(D71="","",IF(D71&gt;F71,C71,IF(F71&gt;D71,G71,"EMPATE")))</f>
        <v/>
      </c>
      <c r="S71" s="9" t="str">
        <f t="shared" ref="S71:S86" si="10">IF(D71="","",IF(D71&gt;F71,D71,IF(F71&gt;D71,F71,D71)))</f>
        <v/>
      </c>
      <c r="T71" s="9" t="str">
        <f t="shared" ref="T71:T86" si="11">IF(D71="","",IF(D71&lt;F71,D71,IF(F71&lt;D71,F71,D71)))</f>
        <v/>
      </c>
    </row>
    <row r="72" spans="1:39" x14ac:dyDescent="0.3">
      <c r="A72" s="136">
        <v>46200</v>
      </c>
      <c r="B72" s="132">
        <v>0.95833333333333337</v>
      </c>
      <c r="C72" s="139" t="s">
        <v>131</v>
      </c>
      <c r="D72" s="138"/>
      <c r="E72" s="138" t="s">
        <v>1</v>
      </c>
      <c r="F72" s="138"/>
      <c r="G72" s="139" t="s">
        <v>9</v>
      </c>
      <c r="R72" s="12" t="str">
        <f t="shared" si="9"/>
        <v/>
      </c>
      <c r="S72" s="9" t="str">
        <f t="shared" si="10"/>
        <v/>
      </c>
      <c r="T72" s="9" t="str">
        <f t="shared" si="11"/>
        <v/>
      </c>
    </row>
    <row r="73" spans="1:39" x14ac:dyDescent="0.3">
      <c r="A73" s="136">
        <v>46200</v>
      </c>
      <c r="B73" s="132">
        <v>0.95833333333333337</v>
      </c>
      <c r="C73" s="139" t="s">
        <v>129</v>
      </c>
      <c r="D73" s="138"/>
      <c r="E73" s="138" t="s">
        <v>1</v>
      </c>
      <c r="F73" s="138"/>
      <c r="G73" s="139" t="s">
        <v>130</v>
      </c>
      <c r="R73" s="12" t="str">
        <f t="shared" si="9"/>
        <v/>
      </c>
      <c r="S73" s="9" t="str">
        <f t="shared" si="10"/>
        <v/>
      </c>
      <c r="T73" s="9" t="str">
        <f t="shared" si="11"/>
        <v/>
      </c>
    </row>
    <row r="74" spans="1:39" x14ac:dyDescent="0.3">
      <c r="A74" s="71">
        <v>46201</v>
      </c>
      <c r="B74" s="72">
        <v>0.66666666666666663</v>
      </c>
      <c r="C74" s="73" t="s">
        <v>142</v>
      </c>
      <c r="D74" s="74"/>
      <c r="E74" s="74" t="s">
        <v>1</v>
      </c>
      <c r="F74" s="74"/>
      <c r="G74" s="73" t="s">
        <v>143</v>
      </c>
      <c r="R74" s="12" t="str">
        <f t="shared" si="9"/>
        <v/>
      </c>
      <c r="S74" s="9" t="str">
        <f t="shared" si="10"/>
        <v/>
      </c>
      <c r="T74" s="9" t="str">
        <f t="shared" si="11"/>
        <v/>
      </c>
    </row>
    <row r="75" spans="1:39" x14ac:dyDescent="0.3">
      <c r="A75" s="71">
        <v>46202</v>
      </c>
      <c r="B75" s="72">
        <v>0.58333333333333337</v>
      </c>
      <c r="C75" s="73" t="s">
        <v>154</v>
      </c>
      <c r="D75" s="74"/>
      <c r="E75" s="74" t="s">
        <v>1</v>
      </c>
      <c r="F75" s="74"/>
      <c r="G75" s="73" t="s">
        <v>155</v>
      </c>
      <c r="R75" s="12" t="str">
        <f t="shared" si="9"/>
        <v/>
      </c>
      <c r="S75" s="9" t="str">
        <f t="shared" si="10"/>
        <v/>
      </c>
      <c r="T75" s="9" t="str">
        <f t="shared" si="11"/>
        <v/>
      </c>
    </row>
    <row r="76" spans="1:39" x14ac:dyDescent="0.3">
      <c r="A76" s="71">
        <v>46202</v>
      </c>
      <c r="B76" s="72">
        <v>0.72916666666666663</v>
      </c>
      <c r="C76" s="73" t="s">
        <v>138</v>
      </c>
      <c r="D76" s="74"/>
      <c r="E76" s="74" t="s">
        <v>1</v>
      </c>
      <c r="F76" s="74"/>
      <c r="G76" s="73" t="s">
        <v>139</v>
      </c>
      <c r="R76" s="12" t="str">
        <f t="shared" si="9"/>
        <v/>
      </c>
      <c r="S76" s="9" t="str">
        <f t="shared" si="10"/>
        <v/>
      </c>
      <c r="T76" s="9" t="str">
        <f t="shared" si="11"/>
        <v/>
      </c>
    </row>
    <row r="77" spans="1:39" x14ac:dyDescent="0.3">
      <c r="A77" s="71">
        <v>46202</v>
      </c>
      <c r="B77" s="72">
        <v>0.91666666666666663</v>
      </c>
      <c r="C77" s="73" t="s">
        <v>144</v>
      </c>
      <c r="D77" s="74"/>
      <c r="E77" s="74" t="s">
        <v>1</v>
      </c>
      <c r="F77" s="74"/>
      <c r="G77" s="73" t="s">
        <v>145</v>
      </c>
      <c r="R77" s="12" t="str">
        <f t="shared" si="9"/>
        <v/>
      </c>
      <c r="S77" s="9" t="str">
        <f t="shared" si="10"/>
        <v/>
      </c>
      <c r="T77" s="9" t="str">
        <f t="shared" si="11"/>
        <v/>
      </c>
    </row>
    <row r="78" spans="1:39" x14ac:dyDescent="0.3">
      <c r="A78" s="71">
        <v>46203</v>
      </c>
      <c r="B78" s="72">
        <v>0.58333333333333337</v>
      </c>
      <c r="C78" s="73" t="s">
        <v>156</v>
      </c>
      <c r="D78" s="74"/>
      <c r="E78" s="74" t="s">
        <v>1</v>
      </c>
      <c r="F78" s="74"/>
      <c r="G78" s="73" t="s">
        <v>157</v>
      </c>
      <c r="R78" s="12" t="str">
        <f t="shared" si="9"/>
        <v/>
      </c>
      <c r="S78" s="9" t="str">
        <f t="shared" si="10"/>
        <v/>
      </c>
      <c r="T78" s="9" t="str">
        <f t="shared" si="11"/>
        <v/>
      </c>
    </row>
    <row r="79" spans="1:39" x14ac:dyDescent="0.3">
      <c r="A79" s="71">
        <v>46203</v>
      </c>
      <c r="B79" s="72">
        <v>0.75</v>
      </c>
      <c r="C79" s="73" t="s">
        <v>140</v>
      </c>
      <c r="D79" s="74"/>
      <c r="E79" s="74" t="s">
        <v>1</v>
      </c>
      <c r="F79" s="74"/>
      <c r="G79" s="73" t="s">
        <v>141</v>
      </c>
      <c r="R79" s="12" t="str">
        <f t="shared" si="9"/>
        <v/>
      </c>
      <c r="S79" s="9" t="str">
        <f t="shared" si="10"/>
        <v/>
      </c>
      <c r="T79" s="9" t="str">
        <f t="shared" si="11"/>
        <v/>
      </c>
    </row>
    <row r="80" spans="1:39" x14ac:dyDescent="0.3">
      <c r="A80" s="71">
        <v>46203</v>
      </c>
      <c r="B80" s="72">
        <v>0.91666666666666663</v>
      </c>
      <c r="C80" s="73" t="s">
        <v>158</v>
      </c>
      <c r="D80" s="74"/>
      <c r="E80" s="74" t="s">
        <v>1</v>
      </c>
      <c r="F80" s="74"/>
      <c r="G80" s="73" t="s">
        <v>159</v>
      </c>
      <c r="R80" s="12" t="str">
        <f t="shared" si="9"/>
        <v/>
      </c>
      <c r="S80" s="9" t="str">
        <f t="shared" si="10"/>
        <v/>
      </c>
      <c r="T80" s="9" t="str">
        <f t="shared" si="11"/>
        <v/>
      </c>
    </row>
    <row r="81" spans="1:20" x14ac:dyDescent="0.3">
      <c r="A81" s="71">
        <v>46204</v>
      </c>
      <c r="B81" s="72">
        <v>0.54166666666666663</v>
      </c>
      <c r="C81" s="73" t="s">
        <v>160</v>
      </c>
      <c r="D81" s="74"/>
      <c r="E81" s="74" t="s">
        <v>1</v>
      </c>
      <c r="F81" s="74"/>
      <c r="G81" s="73" t="s">
        <v>161</v>
      </c>
      <c r="R81" s="12" t="str">
        <f t="shared" si="9"/>
        <v/>
      </c>
      <c r="S81" s="9" t="str">
        <f t="shared" si="10"/>
        <v/>
      </c>
      <c r="T81" s="9" t="str">
        <f t="shared" si="11"/>
        <v/>
      </c>
    </row>
    <row r="82" spans="1:20" x14ac:dyDescent="0.3">
      <c r="A82" s="71">
        <v>46204</v>
      </c>
      <c r="B82" s="72">
        <v>0.70833333333333337</v>
      </c>
      <c r="C82" s="73" t="s">
        <v>152</v>
      </c>
      <c r="D82" s="74"/>
      <c r="E82" s="74" t="s">
        <v>1</v>
      </c>
      <c r="F82" s="74"/>
      <c r="G82" s="73" t="s">
        <v>153</v>
      </c>
      <c r="R82" s="12" t="str">
        <f t="shared" si="9"/>
        <v/>
      </c>
      <c r="S82" s="9" t="str">
        <f t="shared" si="10"/>
        <v/>
      </c>
      <c r="T82" s="9" t="str">
        <f t="shared" si="11"/>
        <v/>
      </c>
    </row>
    <row r="83" spans="1:20" x14ac:dyDescent="0.3">
      <c r="A83" s="71">
        <v>46204</v>
      </c>
      <c r="B83" s="72">
        <v>0.875</v>
      </c>
      <c r="C83" s="73" t="s">
        <v>150</v>
      </c>
      <c r="D83" s="74"/>
      <c r="E83" s="74" t="s">
        <v>1</v>
      </c>
      <c r="F83" s="74"/>
      <c r="G83" s="73" t="s">
        <v>151</v>
      </c>
      <c r="R83" s="12" t="str">
        <f t="shared" si="9"/>
        <v/>
      </c>
      <c r="S83" s="9" t="str">
        <f t="shared" si="10"/>
        <v/>
      </c>
      <c r="T83" s="9" t="str">
        <f t="shared" si="11"/>
        <v/>
      </c>
    </row>
    <row r="84" spans="1:20" x14ac:dyDescent="0.3">
      <c r="A84" s="71">
        <v>46205</v>
      </c>
      <c r="B84" s="72">
        <v>0.66666666666666663</v>
      </c>
      <c r="C84" s="73" t="s">
        <v>148</v>
      </c>
      <c r="D84" s="74"/>
      <c r="E84" s="74" t="s">
        <v>1</v>
      </c>
      <c r="F84" s="74"/>
      <c r="G84" s="73" t="s">
        <v>149</v>
      </c>
      <c r="R84" s="12" t="str">
        <f t="shared" si="9"/>
        <v/>
      </c>
      <c r="S84" s="9" t="str">
        <f t="shared" si="10"/>
        <v/>
      </c>
      <c r="T84" s="9" t="str">
        <f t="shared" si="11"/>
        <v/>
      </c>
    </row>
    <row r="85" spans="1:20" x14ac:dyDescent="0.3">
      <c r="A85" s="71">
        <v>46205</v>
      </c>
      <c r="B85" s="72">
        <v>0.83333333333333337</v>
      </c>
      <c r="C85" s="73" t="s">
        <v>146</v>
      </c>
      <c r="D85" s="74"/>
      <c r="E85" s="74" t="s">
        <v>1</v>
      </c>
      <c r="F85" s="74"/>
      <c r="G85" s="73" t="s">
        <v>147</v>
      </c>
      <c r="R85" s="12" t="str">
        <f t="shared" si="9"/>
        <v/>
      </c>
      <c r="S85" s="9" t="str">
        <f t="shared" si="10"/>
        <v/>
      </c>
      <c r="T85" s="9" t="str">
        <f t="shared" si="11"/>
        <v/>
      </c>
    </row>
    <row r="86" spans="1:20" x14ac:dyDescent="0.3">
      <c r="A86" s="71">
        <v>46206</v>
      </c>
      <c r="B86" s="72">
        <v>0</v>
      </c>
      <c r="C86" s="73" t="s">
        <v>166</v>
      </c>
      <c r="D86" s="74"/>
      <c r="E86" s="74" t="s">
        <v>1</v>
      </c>
      <c r="F86" s="74"/>
      <c r="G86" s="73" t="s">
        <v>167</v>
      </c>
      <c r="R86" s="12" t="str">
        <f t="shared" si="9"/>
        <v/>
      </c>
      <c r="S86" s="9" t="str">
        <f t="shared" si="10"/>
        <v/>
      </c>
      <c r="T86" s="9" t="str">
        <f t="shared" si="11"/>
        <v/>
      </c>
    </row>
    <row r="87" spans="1:20" x14ac:dyDescent="0.3">
      <c r="A87" s="71">
        <v>46206</v>
      </c>
      <c r="B87" s="72">
        <v>0.625</v>
      </c>
      <c r="C87" s="73" t="s">
        <v>164</v>
      </c>
      <c r="D87" s="74"/>
      <c r="E87" s="74" t="s">
        <v>1</v>
      </c>
      <c r="F87" s="74"/>
      <c r="G87" s="73" t="s">
        <v>165</v>
      </c>
      <c r="R87" s="12" t="str">
        <f t="shared" ref="R87:R90" si="12">IF(D87="","",IF(D87&gt;F87,C87,IF(F87&gt;D87,G87,"EMPATE")))</f>
        <v/>
      </c>
      <c r="S87" s="9" t="str">
        <f t="shared" ref="S87:S90" si="13">IF(D87="","",IF(D87&gt;F87,D87,IF(F87&gt;D87,F87,D87)))</f>
        <v/>
      </c>
      <c r="T87" s="9" t="str">
        <f t="shared" ref="T87:T90" si="14">IF(D87="","",IF(D87&lt;F87,D87,IF(F87&lt;D87,F87,D87)))</f>
        <v/>
      </c>
    </row>
    <row r="88" spans="1:20" x14ac:dyDescent="0.3">
      <c r="A88" s="71">
        <v>46206</v>
      </c>
      <c r="B88" s="72">
        <v>0.79166666666666663</v>
      </c>
      <c r="C88" s="73" t="s">
        <v>162</v>
      </c>
      <c r="D88" s="74"/>
      <c r="E88" s="74" t="s">
        <v>1</v>
      </c>
      <c r="F88" s="74"/>
      <c r="G88" s="73" t="s">
        <v>163</v>
      </c>
      <c r="R88" s="12" t="str">
        <f t="shared" si="12"/>
        <v/>
      </c>
      <c r="S88" s="9" t="str">
        <f t="shared" si="13"/>
        <v/>
      </c>
      <c r="T88" s="9" t="str">
        <f t="shared" si="14"/>
        <v/>
      </c>
    </row>
    <row r="89" spans="1:20" x14ac:dyDescent="0.3">
      <c r="A89" s="71">
        <v>46206</v>
      </c>
      <c r="B89" s="72">
        <v>0.9375</v>
      </c>
      <c r="C89" s="73" t="s">
        <v>168</v>
      </c>
      <c r="D89" s="74"/>
      <c r="E89" s="74" t="s">
        <v>1</v>
      </c>
      <c r="F89" s="74"/>
      <c r="G89" s="73" t="s">
        <v>169</v>
      </c>
      <c r="R89" s="12" t="str">
        <f t="shared" si="12"/>
        <v/>
      </c>
      <c r="S89" s="9" t="str">
        <f t="shared" si="13"/>
        <v/>
      </c>
      <c r="T89" s="9" t="str">
        <f t="shared" si="14"/>
        <v/>
      </c>
    </row>
    <row r="90" spans="1:20" x14ac:dyDescent="0.3">
      <c r="A90" s="76">
        <v>46207</v>
      </c>
      <c r="B90" s="77">
        <v>0.75</v>
      </c>
      <c r="C90" s="78" t="s">
        <v>170</v>
      </c>
      <c r="D90" s="75"/>
      <c r="E90" s="75" t="s">
        <v>1</v>
      </c>
      <c r="F90" s="75"/>
      <c r="G90" s="78" t="s">
        <v>171</v>
      </c>
      <c r="R90" s="12" t="str">
        <f t="shared" si="12"/>
        <v/>
      </c>
      <c r="S90" s="9" t="str">
        <f t="shared" si="13"/>
        <v/>
      </c>
      <c r="T90" s="9" t="str">
        <f t="shared" si="14"/>
        <v/>
      </c>
    </row>
    <row r="91" spans="1:20" x14ac:dyDescent="0.3">
      <c r="A91" s="76">
        <v>46207</v>
      </c>
      <c r="B91" s="77">
        <v>0.58333333333333337</v>
      </c>
      <c r="C91" s="78" t="s">
        <v>172</v>
      </c>
      <c r="D91" s="75"/>
      <c r="E91" s="75" t="s">
        <v>1</v>
      </c>
      <c r="F91" s="75"/>
      <c r="G91" s="78" t="s">
        <v>179</v>
      </c>
      <c r="R91" s="12" t="str">
        <f t="shared" ref="R91:R105" si="15">IF(D91="","",IF(D91&gt;F91,C91,IF(F91&gt;D91,G91,"EMPATE")))</f>
        <v/>
      </c>
      <c r="S91" s="9" t="str">
        <f t="shared" ref="S91:S105" si="16">IF(D91="","",IF(D91&gt;F91,D91,IF(F91&gt;D91,F91,D91)))</f>
        <v/>
      </c>
      <c r="T91" s="9" t="str">
        <f t="shared" ref="T91:T105" si="17">IF(D91="","",IF(D91&lt;F91,D91,IF(F91&lt;D91,F91,D91)))</f>
        <v/>
      </c>
    </row>
    <row r="92" spans="1:20" x14ac:dyDescent="0.3">
      <c r="A92" s="76">
        <v>46208</v>
      </c>
      <c r="B92" s="77">
        <v>0.70833333333333337</v>
      </c>
      <c r="C92" s="78" t="s">
        <v>175</v>
      </c>
      <c r="D92" s="75"/>
      <c r="E92" s="75" t="s">
        <v>1</v>
      </c>
      <c r="F92" s="75"/>
      <c r="G92" s="78" t="s">
        <v>182</v>
      </c>
      <c r="R92" s="12" t="str">
        <f t="shared" si="15"/>
        <v/>
      </c>
      <c r="S92" s="9" t="str">
        <f t="shared" si="16"/>
        <v/>
      </c>
      <c r="T92" s="9" t="str">
        <f t="shared" si="17"/>
        <v/>
      </c>
    </row>
    <row r="93" spans="1:20" x14ac:dyDescent="0.3">
      <c r="A93" s="76">
        <v>46208</v>
      </c>
      <c r="B93" s="77">
        <v>0.875</v>
      </c>
      <c r="C93" s="78" t="s">
        <v>176</v>
      </c>
      <c r="D93" s="75"/>
      <c r="E93" s="75" t="s">
        <v>1</v>
      </c>
      <c r="F93" s="75"/>
      <c r="G93" s="78" t="s">
        <v>183</v>
      </c>
      <c r="R93" s="12" t="str">
        <f t="shared" si="15"/>
        <v/>
      </c>
      <c r="S93" s="9" t="str">
        <f t="shared" si="16"/>
        <v/>
      </c>
      <c r="T93" s="9" t="str">
        <f t="shared" si="17"/>
        <v/>
      </c>
    </row>
    <row r="94" spans="1:20" x14ac:dyDescent="0.3">
      <c r="A94" s="76">
        <v>46209</v>
      </c>
      <c r="B94" s="77">
        <v>0.66666666666666663</v>
      </c>
      <c r="C94" s="78" t="s">
        <v>173</v>
      </c>
      <c r="D94" s="75"/>
      <c r="E94" s="75" t="s">
        <v>1</v>
      </c>
      <c r="F94" s="75"/>
      <c r="G94" s="78" t="s">
        <v>180</v>
      </c>
      <c r="R94" s="12" t="str">
        <f t="shared" si="15"/>
        <v/>
      </c>
      <c r="S94" s="9" t="str">
        <f t="shared" si="16"/>
        <v/>
      </c>
      <c r="T94" s="9" t="str">
        <f t="shared" si="17"/>
        <v/>
      </c>
    </row>
    <row r="95" spans="1:20" x14ac:dyDescent="0.3">
      <c r="A95" s="76">
        <v>46209</v>
      </c>
      <c r="B95" s="77">
        <v>0.875</v>
      </c>
      <c r="C95" s="78" t="s">
        <v>174</v>
      </c>
      <c r="D95" s="75"/>
      <c r="E95" s="75" t="s">
        <v>1</v>
      </c>
      <c r="F95" s="75"/>
      <c r="G95" s="78" t="s">
        <v>181</v>
      </c>
      <c r="R95" s="12" t="str">
        <f t="shared" si="15"/>
        <v/>
      </c>
      <c r="S95" s="9" t="str">
        <f t="shared" si="16"/>
        <v/>
      </c>
      <c r="T95" s="9" t="str">
        <f t="shared" si="17"/>
        <v/>
      </c>
    </row>
    <row r="96" spans="1:20" x14ac:dyDescent="0.3">
      <c r="A96" s="76">
        <v>46210</v>
      </c>
      <c r="B96" s="77">
        <v>0.54166666666666663</v>
      </c>
      <c r="C96" s="78" t="s">
        <v>177</v>
      </c>
      <c r="D96" s="75"/>
      <c r="E96" s="75" t="s">
        <v>1</v>
      </c>
      <c r="F96" s="75"/>
      <c r="G96" s="78" t="s">
        <v>184</v>
      </c>
      <c r="R96" s="12" t="str">
        <f t="shared" si="15"/>
        <v/>
      </c>
      <c r="S96" s="9" t="str">
        <f t="shared" si="16"/>
        <v/>
      </c>
      <c r="T96" s="9" t="str">
        <f t="shared" si="17"/>
        <v/>
      </c>
    </row>
    <row r="97" spans="1:20" x14ac:dyDescent="0.3">
      <c r="A97" s="76">
        <v>46210</v>
      </c>
      <c r="B97" s="77">
        <v>0.70833333333333337</v>
      </c>
      <c r="C97" s="78" t="s">
        <v>178</v>
      </c>
      <c r="D97" s="75"/>
      <c r="E97" s="75" t="s">
        <v>1</v>
      </c>
      <c r="F97" s="75"/>
      <c r="G97" s="78" t="s">
        <v>185</v>
      </c>
      <c r="R97" s="12" t="str">
        <f t="shared" si="15"/>
        <v/>
      </c>
      <c r="S97" s="9" t="str">
        <f t="shared" si="16"/>
        <v/>
      </c>
      <c r="T97" s="9" t="str">
        <f t="shared" si="17"/>
        <v/>
      </c>
    </row>
    <row r="98" spans="1:20" x14ac:dyDescent="0.3">
      <c r="A98" s="80">
        <v>46212</v>
      </c>
      <c r="B98" s="81">
        <v>0.70833333333333337</v>
      </c>
      <c r="C98" s="82" t="s">
        <v>186</v>
      </c>
      <c r="D98" s="79"/>
      <c r="E98" s="79" t="s">
        <v>1</v>
      </c>
      <c r="F98" s="79"/>
      <c r="G98" s="82" t="s">
        <v>187</v>
      </c>
      <c r="R98" s="12" t="str">
        <f t="shared" si="15"/>
        <v/>
      </c>
      <c r="S98" s="9" t="str">
        <f t="shared" si="16"/>
        <v/>
      </c>
      <c r="T98" s="9" t="str">
        <f t="shared" si="17"/>
        <v/>
      </c>
    </row>
    <row r="99" spans="1:20" x14ac:dyDescent="0.3">
      <c r="A99" s="80">
        <v>46213</v>
      </c>
      <c r="B99" s="81">
        <v>0.66666666666666663</v>
      </c>
      <c r="C99" s="82" t="s">
        <v>188</v>
      </c>
      <c r="D99" s="79"/>
      <c r="E99" s="79" t="s">
        <v>1</v>
      </c>
      <c r="F99" s="79"/>
      <c r="G99" s="82" t="s">
        <v>191</v>
      </c>
      <c r="R99" s="12" t="str">
        <f t="shared" si="15"/>
        <v/>
      </c>
      <c r="S99" s="9" t="str">
        <f t="shared" si="16"/>
        <v/>
      </c>
      <c r="T99" s="9" t="str">
        <f t="shared" si="17"/>
        <v/>
      </c>
    </row>
    <row r="100" spans="1:20" x14ac:dyDescent="0.3">
      <c r="A100" s="80">
        <v>46214</v>
      </c>
      <c r="B100" s="81">
        <v>0.75</v>
      </c>
      <c r="C100" s="82" t="s">
        <v>189</v>
      </c>
      <c r="D100" s="79"/>
      <c r="E100" s="79" t="s">
        <v>1</v>
      </c>
      <c r="F100" s="79"/>
      <c r="G100" s="82" t="s">
        <v>192</v>
      </c>
      <c r="R100" s="12" t="str">
        <f t="shared" si="15"/>
        <v/>
      </c>
      <c r="S100" s="9" t="str">
        <f t="shared" si="16"/>
        <v/>
      </c>
      <c r="T100" s="9" t="str">
        <f t="shared" si="17"/>
        <v/>
      </c>
    </row>
    <row r="101" spans="1:20" x14ac:dyDescent="0.3">
      <c r="A101" s="80">
        <v>46214</v>
      </c>
      <c r="B101" s="81">
        <v>0.91666666666666663</v>
      </c>
      <c r="C101" s="82" t="s">
        <v>190</v>
      </c>
      <c r="D101" s="79"/>
      <c r="E101" s="79" t="s">
        <v>1</v>
      </c>
      <c r="F101" s="79"/>
      <c r="G101" s="82" t="s">
        <v>193</v>
      </c>
      <c r="R101" s="12" t="str">
        <f t="shared" si="15"/>
        <v/>
      </c>
      <c r="S101" s="9" t="str">
        <f t="shared" si="16"/>
        <v/>
      </c>
      <c r="T101" s="9" t="str">
        <f t="shared" si="17"/>
        <v/>
      </c>
    </row>
    <row r="102" spans="1:20" x14ac:dyDescent="0.3">
      <c r="A102" s="83">
        <v>46217</v>
      </c>
      <c r="B102" s="84">
        <v>0.66666666666666663</v>
      </c>
      <c r="C102" s="85" t="s">
        <v>194</v>
      </c>
      <c r="D102" s="86"/>
      <c r="E102" s="86" t="s">
        <v>1</v>
      </c>
      <c r="F102" s="86"/>
      <c r="G102" s="85" t="s">
        <v>195</v>
      </c>
      <c r="R102" s="12" t="str">
        <f t="shared" si="15"/>
        <v/>
      </c>
      <c r="S102" s="9" t="str">
        <f t="shared" si="16"/>
        <v/>
      </c>
      <c r="T102" s="9" t="str">
        <f t="shared" si="17"/>
        <v/>
      </c>
    </row>
    <row r="103" spans="1:20" x14ac:dyDescent="0.3">
      <c r="A103" s="83">
        <v>46218</v>
      </c>
      <c r="B103" s="84">
        <v>0.66666666666666663</v>
      </c>
      <c r="C103" s="85" t="s">
        <v>196</v>
      </c>
      <c r="D103" s="86"/>
      <c r="E103" s="86" t="s">
        <v>1</v>
      </c>
      <c r="F103" s="86"/>
      <c r="G103" s="85" t="s">
        <v>197</v>
      </c>
      <c r="R103" s="12" t="str">
        <f t="shared" si="15"/>
        <v/>
      </c>
      <c r="S103" s="9" t="str">
        <f t="shared" si="16"/>
        <v/>
      </c>
      <c r="T103" s="9" t="str">
        <f t="shared" si="17"/>
        <v/>
      </c>
    </row>
    <row r="104" spans="1:20" x14ac:dyDescent="0.3">
      <c r="A104" s="87">
        <v>46221</v>
      </c>
      <c r="B104" s="88">
        <v>0.75</v>
      </c>
      <c r="C104" s="89" t="s">
        <v>198</v>
      </c>
      <c r="D104" s="90"/>
      <c r="E104" s="90" t="s">
        <v>1</v>
      </c>
      <c r="F104" s="90"/>
      <c r="G104" s="89" t="s">
        <v>199</v>
      </c>
      <c r="R104" s="12" t="str">
        <f t="shared" si="15"/>
        <v/>
      </c>
      <c r="S104" s="9" t="str">
        <f t="shared" si="16"/>
        <v/>
      </c>
      <c r="T104" s="9" t="str">
        <f t="shared" si="17"/>
        <v/>
      </c>
    </row>
    <row r="105" spans="1:20" x14ac:dyDescent="0.3">
      <c r="A105" s="91">
        <v>46222</v>
      </c>
      <c r="B105" s="92">
        <v>0.66666666666666663</v>
      </c>
      <c r="C105" s="93" t="s">
        <v>200</v>
      </c>
      <c r="D105" s="94"/>
      <c r="E105" s="94" t="s">
        <v>1</v>
      </c>
      <c r="F105" s="94"/>
      <c r="G105" s="93" t="s">
        <v>201</v>
      </c>
      <c r="R105" s="12" t="str">
        <f t="shared" si="15"/>
        <v/>
      </c>
      <c r="S105" s="9" t="str">
        <f t="shared" si="16"/>
        <v/>
      </c>
      <c r="T105" s="9" t="str">
        <f t="shared" si="17"/>
        <v/>
      </c>
    </row>
  </sheetData>
  <sortState xmlns:xlrd2="http://schemas.microsoft.com/office/spreadsheetml/2017/richdata2" ref="I24:P33">
    <sortCondition ref="I24:I33"/>
    <sortCondition ref="L24:L33"/>
    <sortCondition ref="M24:M33"/>
    <sortCondition ref="N24:N33"/>
    <sortCondition ref="O24:O33"/>
    <sortCondition ref="P24:P33"/>
  </sortState>
  <mergeCells count="5">
    <mergeCell ref="A1:G1"/>
    <mergeCell ref="I9:P9"/>
    <mergeCell ref="I1:P3"/>
    <mergeCell ref="I5:P7"/>
    <mergeCell ref="I22:P22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5"/>
  <sheetViews>
    <sheetView showGridLines="0" topLeftCell="A46" zoomScaleNormal="100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50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26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2</v>
      </c>
      <c r="G2" s="66" t="s">
        <v>90</v>
      </c>
      <c r="H2" s="155"/>
      <c r="I2" s="149"/>
      <c r="J2" s="156"/>
      <c r="K2" s="8" t="str">
        <f t="shared" ref="K2:K36" si="0">IF(D2="","",IF(D2&gt;F2,C2,IF(F2&gt;D2,G2,"EMPATE")))</f>
        <v>EMPATE</v>
      </c>
      <c r="L2" s="9">
        <f t="shared" ref="L2:L36" si="1">IF(D2="","",IF(D2&gt;F2,D2,IF(F2&gt;D2,F2,D2)))</f>
        <v>2</v>
      </c>
      <c r="M2" s="9">
        <f t="shared" ref="M2:M36" si="2">IF(D2="","",IF(D2&lt;F2,D2,IF(F2&lt;D2,F2,D2)))</f>
        <v>2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0</v>
      </c>
    </row>
    <row r="3" spans="1:15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64">
        <v>46185</v>
      </c>
      <c r="B4" s="65">
        <v>0.66666666666666663</v>
      </c>
      <c r="C4" s="66" t="s">
        <v>110</v>
      </c>
      <c r="D4" s="49">
        <v>1</v>
      </c>
      <c r="E4" s="49" t="s">
        <v>1</v>
      </c>
      <c r="F4" s="49">
        <v>1</v>
      </c>
      <c r="G4" s="66" t="s">
        <v>117</v>
      </c>
      <c r="K4" s="8" t="str">
        <f t="shared" si="0"/>
        <v>EMPATE</v>
      </c>
      <c r="L4" s="9">
        <f t="shared" si="1"/>
        <v>1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9</v>
      </c>
    </row>
    <row r="5" spans="1:15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1</v>
      </c>
      <c r="G5" s="66" t="s">
        <v>120</v>
      </c>
      <c r="I5" s="18"/>
      <c r="K5" s="8" t="str">
        <f t="shared" si="0"/>
        <v>Estados Unidos</v>
      </c>
      <c r="L5" s="9">
        <f t="shared" si="1"/>
        <v>2</v>
      </c>
      <c r="M5" s="9">
        <f t="shared" si="2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64">
        <v>46186</v>
      </c>
      <c r="B6" s="65">
        <v>0.66666666666666663</v>
      </c>
      <c r="C6" s="66" t="s">
        <v>99</v>
      </c>
      <c r="D6" s="49">
        <v>0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0"/>
        <v>Suíça</v>
      </c>
      <c r="L6" s="9">
        <f t="shared" si="1"/>
        <v>2</v>
      </c>
      <c r="M6" s="9">
        <f t="shared" si="2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4</v>
      </c>
      <c r="J7" s="15">
        <f>H7*I7</f>
        <v>36</v>
      </c>
      <c r="K7" s="8" t="str">
        <f t="shared" si="0"/>
        <v>Brasil</v>
      </c>
      <c r="L7" s="9">
        <f t="shared" si="1"/>
        <v>2</v>
      </c>
      <c r="M7" s="9">
        <f t="shared" si="2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64">
        <v>46186</v>
      </c>
      <c r="B8" s="65">
        <v>0.91666666666666663</v>
      </c>
      <c r="C8" s="66" t="s">
        <v>118</v>
      </c>
      <c r="D8" s="49">
        <v>1</v>
      </c>
      <c r="E8" s="49" t="s">
        <v>1</v>
      </c>
      <c r="F8" s="49">
        <v>3</v>
      </c>
      <c r="G8" s="66" t="s">
        <v>119</v>
      </c>
      <c r="H8" s="15">
        <v>6</v>
      </c>
      <c r="I8" s="15">
        <f>COUNTIF($O$2:$O$65,6)</f>
        <v>4</v>
      </c>
      <c r="J8" s="15">
        <f t="shared" ref="J8:J11" si="3">H8*I8</f>
        <v>24</v>
      </c>
      <c r="K8" s="8" t="str">
        <f t="shared" si="0"/>
        <v>Escócia</v>
      </c>
      <c r="L8" s="9">
        <f t="shared" si="1"/>
        <v>3</v>
      </c>
      <c r="M8" s="9">
        <f t="shared" si="2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3</v>
      </c>
    </row>
    <row r="9" spans="1:15" ht="15.75" customHeight="1" x14ac:dyDescent="0.3">
      <c r="A9" s="64">
        <v>46187</v>
      </c>
      <c r="B9" s="65">
        <v>4.1666666666666664E-2</v>
      </c>
      <c r="C9" s="66" t="s">
        <v>8</v>
      </c>
      <c r="D9" s="49">
        <v>1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9</v>
      </c>
      <c r="J9" s="15">
        <f t="shared" si="3"/>
        <v>36</v>
      </c>
      <c r="K9" s="8" t="str">
        <f t="shared" si="0"/>
        <v>Turquia</v>
      </c>
      <c r="L9" s="9">
        <f t="shared" si="1"/>
        <v>2</v>
      </c>
      <c r="M9" s="9">
        <f t="shared" si="2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64">
        <v>46187</v>
      </c>
      <c r="B10" s="65">
        <v>0.58333333333333337</v>
      </c>
      <c r="C10" s="66" t="s">
        <v>12</v>
      </c>
      <c r="D10" s="49">
        <v>4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5</v>
      </c>
      <c r="J10" s="15">
        <f t="shared" si="3"/>
        <v>15</v>
      </c>
      <c r="K10" s="8" t="str">
        <f t="shared" si="0"/>
        <v>Alemanha</v>
      </c>
      <c r="L10" s="9">
        <f t="shared" si="1"/>
        <v>4</v>
      </c>
      <c r="M10" s="9">
        <f t="shared" si="2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22</v>
      </c>
      <c r="J11" s="15">
        <f t="shared" si="3"/>
        <v>0</v>
      </c>
      <c r="K11" s="8" t="str">
        <f t="shared" si="0"/>
        <v>Holanda</v>
      </c>
      <c r="L11" s="9">
        <f t="shared" si="1"/>
        <v>2</v>
      </c>
      <c r="M11" s="9">
        <f t="shared" si="2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64">
        <v>46187</v>
      </c>
      <c r="B12" s="65">
        <v>0.83333333333333337</v>
      </c>
      <c r="C12" s="66" t="s">
        <v>123</v>
      </c>
      <c r="D12" s="49">
        <v>2</v>
      </c>
      <c r="E12" s="49" t="s">
        <v>1</v>
      </c>
      <c r="F12" s="49">
        <v>2</v>
      </c>
      <c r="G12" s="66" t="s">
        <v>107</v>
      </c>
      <c r="H12" s="15"/>
      <c r="I12" s="16" t="s">
        <v>48</v>
      </c>
      <c r="J12" s="17">
        <f>SUM(J7:J11)</f>
        <v>111</v>
      </c>
      <c r="K12" s="8" t="str">
        <f t="shared" si="0"/>
        <v>EMPATE</v>
      </c>
      <c r="L12" s="9">
        <f t="shared" si="1"/>
        <v>2</v>
      </c>
      <c r="M12" s="9">
        <f t="shared" si="2"/>
        <v>2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1</v>
      </c>
      <c r="G13" s="66" t="s">
        <v>17</v>
      </c>
      <c r="K13" s="8" t="str">
        <f t="shared" si="0"/>
        <v>Suécia</v>
      </c>
      <c r="L13" s="9">
        <f t="shared" si="1"/>
        <v>2</v>
      </c>
      <c r="M13" s="9">
        <f t="shared" si="2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</row>
    <row r="14" spans="1:15" x14ac:dyDescent="0.3">
      <c r="A14" s="64">
        <v>46188</v>
      </c>
      <c r="B14" s="65">
        <v>0.54166666666666663</v>
      </c>
      <c r="C14" s="66" t="s">
        <v>6</v>
      </c>
      <c r="D14" s="49">
        <v>4</v>
      </c>
      <c r="E14" s="49" t="s">
        <v>1</v>
      </c>
      <c r="F14" s="49">
        <v>0</v>
      </c>
      <c r="G14" s="66" t="s">
        <v>126</v>
      </c>
      <c r="K14" s="8" t="str">
        <f t="shared" si="0"/>
        <v>Espanha</v>
      </c>
      <c r="L14" s="9">
        <f t="shared" si="1"/>
        <v>4</v>
      </c>
      <c r="M14" s="9">
        <f t="shared" si="2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64">
        <v>46188</v>
      </c>
      <c r="B15" s="65">
        <v>0.66666666666666663</v>
      </c>
      <c r="C15" s="66" t="s">
        <v>16</v>
      </c>
      <c r="D15" s="49">
        <v>2</v>
      </c>
      <c r="E15" s="49" t="s">
        <v>1</v>
      </c>
      <c r="F15" s="49">
        <v>1</v>
      </c>
      <c r="G15" s="66" t="s">
        <v>124</v>
      </c>
      <c r="K15" s="8" t="str">
        <f t="shared" si="0"/>
        <v>Bélgica</v>
      </c>
      <c r="L15" s="9">
        <f t="shared" si="1"/>
        <v>2</v>
      </c>
      <c r="M15" s="9">
        <f t="shared" si="2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64">
        <v>46188</v>
      </c>
      <c r="B16" s="65">
        <v>0.79166666666666663</v>
      </c>
      <c r="C16" s="66" t="s">
        <v>2</v>
      </c>
      <c r="D16" s="49">
        <v>1</v>
      </c>
      <c r="E16" s="49" t="s">
        <v>1</v>
      </c>
      <c r="F16" s="49">
        <v>2</v>
      </c>
      <c r="G16" s="66" t="s">
        <v>3</v>
      </c>
      <c r="K16" s="8" t="str">
        <f t="shared" si="0"/>
        <v>Uruguai</v>
      </c>
      <c r="L16" s="9">
        <f t="shared" si="1"/>
        <v>2</v>
      </c>
      <c r="M16" s="9">
        <f t="shared" si="2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64">
        <v>46188</v>
      </c>
      <c r="B17" s="65">
        <v>0.91666666666666663</v>
      </c>
      <c r="C17" s="66" t="s">
        <v>108</v>
      </c>
      <c r="D17" s="49">
        <v>1</v>
      </c>
      <c r="E17" s="49" t="s">
        <v>1</v>
      </c>
      <c r="F17" s="49">
        <v>1</v>
      </c>
      <c r="G17" s="66" t="s">
        <v>125</v>
      </c>
      <c r="K17" s="8" t="str">
        <f t="shared" si="0"/>
        <v>EMPATE</v>
      </c>
      <c r="L17" s="9">
        <f t="shared" si="1"/>
        <v>1</v>
      </c>
      <c r="M17" s="9">
        <f t="shared" si="2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</row>
    <row r="18" spans="1:21" x14ac:dyDescent="0.3">
      <c r="A18" s="64">
        <v>46189</v>
      </c>
      <c r="B18" s="65">
        <v>0.66666666666666663</v>
      </c>
      <c r="C18" s="66" t="s">
        <v>7</v>
      </c>
      <c r="D18" s="49">
        <v>3</v>
      </c>
      <c r="E18" s="49" t="s">
        <v>1</v>
      </c>
      <c r="F18" s="49">
        <v>1</v>
      </c>
      <c r="G18" s="66" t="s">
        <v>20</v>
      </c>
      <c r="K18" s="8" t="str">
        <f t="shared" si="0"/>
        <v>França</v>
      </c>
      <c r="L18" s="9">
        <f t="shared" si="1"/>
        <v>3</v>
      </c>
      <c r="M18" s="9">
        <f t="shared" si="2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</row>
    <row r="19" spans="1:21" x14ac:dyDescent="0.3">
      <c r="A19" s="64">
        <v>46189</v>
      </c>
      <c r="B19" s="65">
        <v>0.79166666666666663</v>
      </c>
      <c r="C19" s="66" t="s">
        <v>127</v>
      </c>
      <c r="D19" s="49">
        <v>1</v>
      </c>
      <c r="E19" s="49" t="s">
        <v>1</v>
      </c>
      <c r="F19" s="49">
        <v>1</v>
      </c>
      <c r="G19" s="66" t="s">
        <v>128</v>
      </c>
      <c r="K19" s="8" t="str">
        <f t="shared" si="0"/>
        <v>EMPATE</v>
      </c>
      <c r="L19" s="9">
        <f t="shared" si="1"/>
        <v>1</v>
      </c>
      <c r="M19" s="9">
        <f t="shared" si="2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</row>
    <row r="20" spans="1:21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1</v>
      </c>
      <c r="G20" s="66" t="s">
        <v>129</v>
      </c>
      <c r="K20" s="8" t="str">
        <f t="shared" si="0"/>
        <v>Argentina</v>
      </c>
      <c r="L20" s="9">
        <f t="shared" si="1"/>
        <v>3</v>
      </c>
      <c r="M20" s="9">
        <f t="shared" si="2"/>
        <v>1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6</v>
      </c>
    </row>
    <row r="21" spans="1:21" x14ac:dyDescent="0.3">
      <c r="A21" s="64">
        <v>46190</v>
      </c>
      <c r="B21" s="65">
        <v>4.1666666666666664E-2</v>
      </c>
      <c r="C21" s="66" t="s">
        <v>130</v>
      </c>
      <c r="D21" s="49">
        <v>1</v>
      </c>
      <c r="E21" s="49" t="s">
        <v>1</v>
      </c>
      <c r="F21" s="49">
        <v>1</v>
      </c>
      <c r="G21" s="66" t="s">
        <v>131</v>
      </c>
      <c r="K21" s="8" t="str">
        <f t="shared" si="0"/>
        <v>EMPATE</v>
      </c>
      <c r="L21" s="9">
        <f t="shared" si="1"/>
        <v>1</v>
      </c>
      <c r="M21" s="9">
        <f t="shared" si="2"/>
        <v>1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0</v>
      </c>
    </row>
    <row r="22" spans="1:21" x14ac:dyDescent="0.3">
      <c r="A22" s="64">
        <v>46190</v>
      </c>
      <c r="B22" s="65">
        <v>0.58333333333333337</v>
      </c>
      <c r="C22" s="66" t="s">
        <v>5</v>
      </c>
      <c r="D22" s="49">
        <v>5</v>
      </c>
      <c r="E22" s="49" t="s">
        <v>1</v>
      </c>
      <c r="F22" s="49">
        <v>1</v>
      </c>
      <c r="G22" s="66" t="s">
        <v>132</v>
      </c>
      <c r="K22" s="8" t="str">
        <f t="shared" si="0"/>
        <v>Portugal</v>
      </c>
      <c r="L22" s="9">
        <f t="shared" si="1"/>
        <v>5</v>
      </c>
      <c r="M22" s="9">
        <f t="shared" si="2"/>
        <v>1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64">
        <v>46190</v>
      </c>
      <c r="B23" s="65">
        <v>0.70833333333333337</v>
      </c>
      <c r="C23" s="66" t="s">
        <v>18</v>
      </c>
      <c r="D23" s="49">
        <v>2</v>
      </c>
      <c r="E23" s="49" t="s">
        <v>1</v>
      </c>
      <c r="F23" s="49">
        <v>2</v>
      </c>
      <c r="G23" s="66" t="s">
        <v>10</v>
      </c>
      <c r="K23" s="8" t="str">
        <f t="shared" si="0"/>
        <v>EMPATE</v>
      </c>
      <c r="L23" s="9">
        <f t="shared" si="1"/>
        <v>2</v>
      </c>
      <c r="M23" s="9">
        <f t="shared" si="2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</row>
    <row r="24" spans="1:21" x14ac:dyDescent="0.3">
      <c r="A24" s="64">
        <v>46190</v>
      </c>
      <c r="B24" s="65">
        <v>0.83333333333333337</v>
      </c>
      <c r="C24" s="66" t="s">
        <v>111</v>
      </c>
      <c r="D24" s="49">
        <v>2</v>
      </c>
      <c r="E24" s="49" t="s">
        <v>1</v>
      </c>
      <c r="F24" s="49">
        <v>1</v>
      </c>
      <c r="G24" s="66" t="s">
        <v>135</v>
      </c>
      <c r="K24" s="8" t="str">
        <f t="shared" si="0"/>
        <v>Gana</v>
      </c>
      <c r="L24" s="9">
        <f t="shared" si="1"/>
        <v>2</v>
      </c>
      <c r="M24" s="9">
        <f t="shared" si="2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64">
        <v>46190</v>
      </c>
      <c r="B25" s="65">
        <v>0.95833333333333337</v>
      </c>
      <c r="C25" s="66" t="s">
        <v>133</v>
      </c>
      <c r="D25" s="49">
        <v>1</v>
      </c>
      <c r="E25" s="49" t="s">
        <v>1</v>
      </c>
      <c r="F25" s="49">
        <v>2</v>
      </c>
      <c r="G25" s="66" t="s">
        <v>134</v>
      </c>
      <c r="K25" s="8" t="str">
        <f t="shared" si="0"/>
        <v>Colômbia</v>
      </c>
      <c r="L25" s="9">
        <f t="shared" si="1"/>
        <v>2</v>
      </c>
      <c r="M25" s="9">
        <f t="shared" si="2"/>
        <v>1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4</v>
      </c>
    </row>
    <row r="26" spans="1:21" x14ac:dyDescent="0.3">
      <c r="A26" s="114">
        <v>46191</v>
      </c>
      <c r="B26" s="115">
        <v>0.54166666666666663</v>
      </c>
      <c r="C26" s="116" t="s">
        <v>116</v>
      </c>
      <c r="D26" s="117">
        <v>1</v>
      </c>
      <c r="E26" s="117" t="s">
        <v>1</v>
      </c>
      <c r="F26" s="117">
        <v>1</v>
      </c>
      <c r="G26" s="116" t="s">
        <v>90</v>
      </c>
      <c r="K26" s="8" t="str">
        <f t="shared" si="0"/>
        <v>EMPATE</v>
      </c>
      <c r="L26" s="9">
        <f t="shared" si="1"/>
        <v>1</v>
      </c>
      <c r="M26" s="9">
        <f t="shared" si="2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9</v>
      </c>
      <c r="Q26" s="100"/>
      <c r="R26" s="52"/>
      <c r="S26" s="52"/>
      <c r="T26" s="52"/>
      <c r="U26" s="100"/>
    </row>
    <row r="27" spans="1:21" x14ac:dyDescent="0.3">
      <c r="A27" s="114">
        <v>46191</v>
      </c>
      <c r="B27" s="115">
        <v>0.66666666666666663</v>
      </c>
      <c r="C27" s="116" t="s">
        <v>74</v>
      </c>
      <c r="D27" s="117">
        <v>1</v>
      </c>
      <c r="E27" s="117" t="s">
        <v>1</v>
      </c>
      <c r="F27" s="117">
        <v>1</v>
      </c>
      <c r="G27" s="116" t="s">
        <v>117</v>
      </c>
      <c r="K27" s="8" t="str">
        <f t="shared" si="0"/>
        <v>EMPATE</v>
      </c>
      <c r="L27" s="9">
        <f t="shared" si="1"/>
        <v>1</v>
      </c>
      <c r="M27" s="9">
        <f t="shared" si="2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100"/>
      <c r="R27" s="52"/>
      <c r="S27" s="52"/>
      <c r="T27" s="52"/>
      <c r="U27" s="100"/>
    </row>
    <row r="28" spans="1:21" x14ac:dyDescent="0.3">
      <c r="A28" s="114">
        <v>46191</v>
      </c>
      <c r="B28" s="115">
        <v>0.79166666666666663</v>
      </c>
      <c r="C28" s="116" t="s">
        <v>110</v>
      </c>
      <c r="D28" s="117">
        <v>1</v>
      </c>
      <c r="E28" s="117" t="s">
        <v>1</v>
      </c>
      <c r="F28" s="117">
        <v>0</v>
      </c>
      <c r="G28" s="116" t="s">
        <v>99</v>
      </c>
      <c r="K28" s="8" t="str">
        <f t="shared" si="0"/>
        <v>Canadá</v>
      </c>
      <c r="L28" s="9">
        <f t="shared" si="1"/>
        <v>1</v>
      </c>
      <c r="M28" s="9">
        <f t="shared" si="2"/>
        <v>0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4</v>
      </c>
      <c r="Q28" s="100"/>
      <c r="R28" s="52"/>
      <c r="S28" s="52"/>
      <c r="T28" s="52"/>
      <c r="U28" s="100"/>
    </row>
    <row r="29" spans="1:21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1</v>
      </c>
      <c r="G29" s="116" t="s">
        <v>15</v>
      </c>
      <c r="K29" s="8" t="str">
        <f t="shared" si="0"/>
        <v>México</v>
      </c>
      <c r="L29" s="9">
        <f t="shared" si="1"/>
        <v>2</v>
      </c>
      <c r="M29" s="9">
        <f t="shared" si="2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100"/>
      <c r="R29" s="52"/>
      <c r="S29" s="52"/>
      <c r="T29" s="52"/>
      <c r="U29" s="100"/>
    </row>
    <row r="30" spans="1:21" x14ac:dyDescent="0.3">
      <c r="A30" s="114">
        <v>46192</v>
      </c>
      <c r="B30" s="115">
        <v>0.66666666666666663</v>
      </c>
      <c r="C30" s="116" t="s">
        <v>109</v>
      </c>
      <c r="D30" s="117">
        <v>1</v>
      </c>
      <c r="E30" s="117" t="s">
        <v>1</v>
      </c>
      <c r="F30" s="117">
        <v>0</v>
      </c>
      <c r="G30" s="116" t="s">
        <v>8</v>
      </c>
      <c r="K30" s="8" t="str">
        <f t="shared" si="0"/>
        <v>Estados Unidos</v>
      </c>
      <c r="L30" s="9">
        <f t="shared" si="1"/>
        <v>1</v>
      </c>
      <c r="M30" s="9">
        <f t="shared" si="2"/>
        <v>0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4</v>
      </c>
      <c r="Q30" s="100"/>
      <c r="R30" s="52"/>
      <c r="S30" s="52"/>
      <c r="T30" s="52"/>
      <c r="U30" s="100"/>
    </row>
    <row r="31" spans="1:21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1</v>
      </c>
      <c r="G31" s="116" t="s">
        <v>4</v>
      </c>
      <c r="K31" s="8" t="str">
        <f t="shared" si="0"/>
        <v>EMPATE</v>
      </c>
      <c r="L31" s="9">
        <f t="shared" si="1"/>
        <v>1</v>
      </c>
      <c r="M31" s="9">
        <f t="shared" si="2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0</v>
      </c>
      <c r="Q31" s="100"/>
      <c r="R31" s="52"/>
      <c r="S31" s="52"/>
      <c r="T31" s="52"/>
      <c r="U31" s="100"/>
    </row>
    <row r="32" spans="1:21" x14ac:dyDescent="0.3">
      <c r="A32" s="114">
        <v>46192</v>
      </c>
      <c r="B32" s="115">
        <v>0.89583333333333337</v>
      </c>
      <c r="C32" s="116" t="s">
        <v>11</v>
      </c>
      <c r="D32" s="117">
        <v>2</v>
      </c>
      <c r="E32" s="117" t="s">
        <v>1</v>
      </c>
      <c r="F32" s="117">
        <v>0</v>
      </c>
      <c r="G32" s="116" t="s">
        <v>118</v>
      </c>
      <c r="K32" s="8" t="str">
        <f t="shared" si="0"/>
        <v>Brasil</v>
      </c>
      <c r="L32" s="9">
        <f t="shared" si="1"/>
        <v>2</v>
      </c>
      <c r="M32" s="9">
        <f t="shared" si="2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100"/>
      <c r="R32" s="52"/>
      <c r="S32" s="52"/>
      <c r="T32" s="52"/>
      <c r="U32" s="100"/>
    </row>
    <row r="33" spans="1:21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0</v>
      </c>
      <c r="G33" s="116" t="s">
        <v>120</v>
      </c>
      <c r="K33" s="8" t="str">
        <f t="shared" si="0"/>
        <v>Turquia</v>
      </c>
      <c r="L33" s="9">
        <f t="shared" si="1"/>
        <v>1</v>
      </c>
      <c r="M33" s="9">
        <f t="shared" si="2"/>
        <v>0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100"/>
      <c r="R33" s="52"/>
      <c r="S33" s="52"/>
      <c r="T33" s="52"/>
      <c r="U33" s="100"/>
    </row>
    <row r="34" spans="1:21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1</v>
      </c>
      <c r="G34" s="116" t="s">
        <v>14</v>
      </c>
      <c r="K34" s="8" t="str">
        <f t="shared" si="0"/>
        <v>Holanda</v>
      </c>
      <c r="L34" s="9">
        <f t="shared" si="1"/>
        <v>2</v>
      </c>
      <c r="M34" s="9">
        <f t="shared" si="2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100"/>
      <c r="R34" s="52"/>
      <c r="S34" s="52"/>
      <c r="T34" s="52"/>
      <c r="U34" s="100"/>
    </row>
    <row r="35" spans="1:21" x14ac:dyDescent="0.3">
      <c r="A35" s="114">
        <v>46193</v>
      </c>
      <c r="B35" s="115">
        <v>0.70833333333333337</v>
      </c>
      <c r="C35" s="116" t="s">
        <v>12</v>
      </c>
      <c r="D35" s="117">
        <v>3</v>
      </c>
      <c r="E35" s="117" t="s">
        <v>1</v>
      </c>
      <c r="F35" s="117">
        <v>1</v>
      </c>
      <c r="G35" s="116" t="s">
        <v>123</v>
      </c>
      <c r="K35" s="8" t="str">
        <f t="shared" si="0"/>
        <v>Alemanha</v>
      </c>
      <c r="L35" s="9">
        <f t="shared" si="1"/>
        <v>3</v>
      </c>
      <c r="M35" s="9">
        <f t="shared" si="2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100"/>
      <c r="R35" s="52"/>
      <c r="S35" s="52"/>
      <c r="T35" s="52"/>
      <c r="U35" s="100"/>
    </row>
    <row r="36" spans="1:21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0</v>
      </c>
      <c r="G36" s="116" t="s">
        <v>122</v>
      </c>
      <c r="K36" s="8" t="str">
        <f t="shared" si="0"/>
        <v>Equador</v>
      </c>
      <c r="L36" s="9">
        <f t="shared" si="1"/>
        <v>2</v>
      </c>
      <c r="M36" s="9">
        <f t="shared" si="2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52"/>
      <c r="S36" s="52"/>
      <c r="T36" s="52"/>
      <c r="U36" s="100"/>
    </row>
    <row r="37" spans="1:21" x14ac:dyDescent="0.3">
      <c r="A37" s="114">
        <v>46194</v>
      </c>
      <c r="B37" s="115">
        <v>4.1666666666666664E-2</v>
      </c>
      <c r="C37" s="116" t="s">
        <v>17</v>
      </c>
      <c r="D37" s="117">
        <v>0</v>
      </c>
      <c r="E37" s="117" t="s">
        <v>1</v>
      </c>
      <c r="F37" s="117">
        <v>2</v>
      </c>
      <c r="G37" s="116" t="s">
        <v>19</v>
      </c>
      <c r="K37" s="8" t="str">
        <f t="shared" ref="K37:K47" si="4">IF(D37="","",IF(D37&gt;F37,C37,IF(F37&gt;D37,G37,"EMPATE")))</f>
        <v>Japão</v>
      </c>
      <c r="L37" s="9">
        <f t="shared" ref="L37:L47" si="5">IF(D37="","",IF(D37&gt;F37,D37,IF(F37&gt;D37,F37,D37)))</f>
        <v>2</v>
      </c>
      <c r="M37" s="9">
        <f t="shared" ref="M37:M47" si="6">IF(D37="","",IF(D37&lt;F37,D37,IF(F37&lt;D37,F37,D37)))</f>
        <v>0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Q37" s="100"/>
      <c r="R37" s="52"/>
      <c r="S37" s="52"/>
      <c r="T37" s="52"/>
      <c r="U37" s="100"/>
    </row>
    <row r="38" spans="1:21" x14ac:dyDescent="0.3">
      <c r="A38" s="114">
        <v>46194</v>
      </c>
      <c r="B38" s="115">
        <v>0.54166666666666663</v>
      </c>
      <c r="C38" s="116" t="s">
        <v>6</v>
      </c>
      <c r="D38" s="117">
        <v>3</v>
      </c>
      <c r="E38" s="117" t="s">
        <v>1</v>
      </c>
      <c r="F38" s="117">
        <v>1</v>
      </c>
      <c r="G38" s="116" t="s">
        <v>2</v>
      </c>
      <c r="K38" s="8" t="str">
        <f t="shared" si="4"/>
        <v>Espanha</v>
      </c>
      <c r="L38" s="9">
        <f t="shared" si="5"/>
        <v>3</v>
      </c>
      <c r="M38" s="9">
        <f t="shared" si="6"/>
        <v>1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  <c r="Q38" s="100"/>
      <c r="R38" s="52"/>
      <c r="S38" s="52"/>
      <c r="T38" s="52"/>
      <c r="U38" s="100"/>
    </row>
    <row r="39" spans="1:21" x14ac:dyDescent="0.3">
      <c r="A39" s="114">
        <v>46194</v>
      </c>
      <c r="B39" s="115">
        <v>0.66666666666666663</v>
      </c>
      <c r="C39" s="116" t="s">
        <v>16</v>
      </c>
      <c r="D39" s="117">
        <v>1</v>
      </c>
      <c r="E39" s="117" t="s">
        <v>1</v>
      </c>
      <c r="F39" s="117">
        <v>1</v>
      </c>
      <c r="G39" s="116" t="s">
        <v>108</v>
      </c>
      <c r="K39" s="8" t="str">
        <f t="shared" si="4"/>
        <v>EMPATE</v>
      </c>
      <c r="L39" s="9">
        <f t="shared" si="5"/>
        <v>1</v>
      </c>
      <c r="M39" s="9">
        <f t="shared" si="6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6</v>
      </c>
      <c r="Q39" s="100"/>
      <c r="R39" s="52"/>
      <c r="S39" s="52"/>
      <c r="T39" s="52"/>
      <c r="U39" s="100"/>
    </row>
    <row r="40" spans="1:21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4"/>
        <v>Uruguai</v>
      </c>
      <c r="L40" s="9">
        <f t="shared" si="5"/>
        <v>2</v>
      </c>
      <c r="M40" s="9">
        <f t="shared" si="6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52"/>
      <c r="S40" s="52"/>
      <c r="T40" s="52"/>
      <c r="U40" s="100"/>
    </row>
    <row r="41" spans="1:21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4"/>
        <v>EMPATE</v>
      </c>
      <c r="L41" s="9">
        <f t="shared" si="5"/>
        <v>1</v>
      </c>
      <c r="M41" s="9">
        <f t="shared" si="6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100"/>
      <c r="R41" s="52"/>
      <c r="S41" s="52"/>
      <c r="T41" s="52"/>
      <c r="U41" s="100"/>
    </row>
    <row r="42" spans="1:21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1</v>
      </c>
      <c r="G42" s="116" t="s">
        <v>130</v>
      </c>
      <c r="K42" s="8" t="str">
        <f t="shared" si="4"/>
        <v>Argentina</v>
      </c>
      <c r="L42" s="9">
        <f t="shared" si="5"/>
        <v>2</v>
      </c>
      <c r="M42" s="9">
        <f t="shared" si="6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100"/>
      <c r="R42" s="52"/>
      <c r="S42" s="52"/>
      <c r="T42" s="52"/>
      <c r="U42" s="100"/>
    </row>
    <row r="43" spans="1:21" x14ac:dyDescent="0.3">
      <c r="A43" s="114">
        <v>46195</v>
      </c>
      <c r="B43" s="115">
        <v>0.75</v>
      </c>
      <c r="C43" s="116" t="s">
        <v>7</v>
      </c>
      <c r="D43" s="117">
        <v>3</v>
      </c>
      <c r="E43" s="117" t="s">
        <v>1</v>
      </c>
      <c r="F43" s="117">
        <v>0</v>
      </c>
      <c r="G43" s="116" t="s">
        <v>127</v>
      </c>
      <c r="K43" s="8" t="str">
        <f t="shared" si="4"/>
        <v>França</v>
      </c>
      <c r="L43" s="9">
        <f t="shared" si="5"/>
        <v>3</v>
      </c>
      <c r="M43" s="9">
        <f t="shared" si="6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100"/>
      <c r="R43" s="52"/>
      <c r="S43" s="52"/>
      <c r="T43" s="52"/>
      <c r="U43" s="100"/>
    </row>
    <row r="44" spans="1:21" x14ac:dyDescent="0.3">
      <c r="A44" s="114">
        <v>46195</v>
      </c>
      <c r="B44" s="115">
        <v>0.875</v>
      </c>
      <c r="C44" s="116" t="s">
        <v>128</v>
      </c>
      <c r="D44" s="117">
        <v>1</v>
      </c>
      <c r="E44" s="117" t="s">
        <v>1</v>
      </c>
      <c r="F44" s="117">
        <v>1</v>
      </c>
      <c r="G44" s="116" t="s">
        <v>20</v>
      </c>
      <c r="K44" s="8" t="str">
        <f t="shared" si="4"/>
        <v>EMPATE</v>
      </c>
      <c r="L44" s="9">
        <f t="shared" si="5"/>
        <v>1</v>
      </c>
      <c r="M44" s="9">
        <f t="shared" si="6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Q44" s="100"/>
      <c r="R44" s="52"/>
      <c r="S44" s="52"/>
      <c r="T44" s="52"/>
      <c r="U44" s="100"/>
    </row>
    <row r="45" spans="1:21" x14ac:dyDescent="0.3">
      <c r="A45" s="114">
        <v>46196</v>
      </c>
      <c r="B45" s="115">
        <v>0</v>
      </c>
      <c r="C45" s="116" t="s">
        <v>131</v>
      </c>
      <c r="D45" s="117">
        <v>1</v>
      </c>
      <c r="E45" s="117" t="s">
        <v>1</v>
      </c>
      <c r="F45" s="117">
        <v>1</v>
      </c>
      <c r="G45" s="116" t="s">
        <v>129</v>
      </c>
      <c r="K45" s="8" t="str">
        <f t="shared" si="4"/>
        <v>EMPATE</v>
      </c>
      <c r="L45" s="9">
        <f t="shared" si="5"/>
        <v>1</v>
      </c>
      <c r="M45" s="9">
        <f t="shared" si="6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100"/>
      <c r="R45" s="52"/>
      <c r="S45" s="52"/>
      <c r="T45" s="52"/>
      <c r="U45" s="100"/>
    </row>
    <row r="46" spans="1:21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0</v>
      </c>
      <c r="G46" s="116" t="s">
        <v>133</v>
      </c>
      <c r="K46" s="8" t="str">
        <f t="shared" si="4"/>
        <v>Portugal</v>
      </c>
      <c r="L46" s="9">
        <f t="shared" si="5"/>
        <v>3</v>
      </c>
      <c r="M46" s="9">
        <f t="shared" si="6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52"/>
      <c r="S46" s="52"/>
      <c r="T46" s="52"/>
      <c r="U46" s="100"/>
    </row>
    <row r="47" spans="1:21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2</v>
      </c>
      <c r="G47" s="116" t="s">
        <v>111</v>
      </c>
      <c r="K47" s="8" t="str">
        <f t="shared" si="4"/>
        <v>EMPATE</v>
      </c>
      <c r="L47" s="9">
        <f t="shared" si="5"/>
        <v>2</v>
      </c>
      <c r="M47" s="9">
        <f t="shared" si="6"/>
        <v>2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52"/>
      <c r="S47" s="52"/>
      <c r="T47" s="52"/>
      <c r="U47" s="100"/>
    </row>
    <row r="48" spans="1:21" x14ac:dyDescent="0.3">
      <c r="A48" s="114">
        <v>46196</v>
      </c>
      <c r="B48" s="115">
        <v>0.83333333333333337</v>
      </c>
      <c r="C48" s="116" t="s">
        <v>135</v>
      </c>
      <c r="D48" s="117">
        <v>1</v>
      </c>
      <c r="E48" s="117" t="s">
        <v>1</v>
      </c>
      <c r="F48" s="117">
        <v>2</v>
      </c>
      <c r="G48" s="116" t="s">
        <v>10</v>
      </c>
      <c r="K48" s="8" t="str">
        <f t="shared" ref="K48:K60" si="7">IF(D48="","",IF(D48&gt;F48,C48,IF(F48&gt;D48,G48,"EMPATE")))</f>
        <v>Croácia</v>
      </c>
      <c r="L48" s="9">
        <f t="shared" ref="L48:L60" si="8">IF(D48="","",IF(D48&gt;F48,D48,IF(F48&gt;D48,F48,D48)))</f>
        <v>2</v>
      </c>
      <c r="M48" s="9">
        <f t="shared" ref="M48:M60" si="9">IF(D48="","",IF(D48&lt;F48,D48,IF(F48&lt;D48,F48,D48)))</f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52"/>
      <c r="S48" s="52"/>
      <c r="T48" s="52"/>
      <c r="U48" s="100"/>
    </row>
    <row r="49" spans="1:21" x14ac:dyDescent="0.3">
      <c r="A49" s="118">
        <v>46196</v>
      </c>
      <c r="B49" s="115">
        <v>0.95833333333333337</v>
      </c>
      <c r="C49" s="119" t="s">
        <v>134</v>
      </c>
      <c r="D49" s="120">
        <v>2</v>
      </c>
      <c r="E49" s="120" t="s">
        <v>1</v>
      </c>
      <c r="F49" s="120">
        <v>0</v>
      </c>
      <c r="G49" s="119" t="s">
        <v>132</v>
      </c>
      <c r="K49" s="8" t="str">
        <f t="shared" si="7"/>
        <v>Colômbia</v>
      </c>
      <c r="L49" s="9">
        <f t="shared" si="8"/>
        <v>2</v>
      </c>
      <c r="M49" s="9">
        <f t="shared" si="9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52"/>
      <c r="S49" s="52"/>
      <c r="T49" s="52"/>
      <c r="U49" s="100"/>
    </row>
    <row r="50" spans="1:21" x14ac:dyDescent="0.3">
      <c r="A50" s="67">
        <v>46197</v>
      </c>
      <c r="B50" s="65">
        <v>0.66666666666666663</v>
      </c>
      <c r="C50" s="68" t="s">
        <v>74</v>
      </c>
      <c r="D50" s="69">
        <v>1</v>
      </c>
      <c r="E50" s="69" t="s">
        <v>1</v>
      </c>
      <c r="F50" s="69">
        <v>1</v>
      </c>
      <c r="G50" s="68" t="s">
        <v>110</v>
      </c>
      <c r="K50" s="8" t="str">
        <f t="shared" si="7"/>
        <v>EMPATE</v>
      </c>
      <c r="L50" s="9">
        <f t="shared" si="8"/>
        <v>1</v>
      </c>
      <c r="M50" s="9">
        <f t="shared" si="9"/>
        <v>1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1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1</v>
      </c>
      <c r="G51" s="68" t="s">
        <v>99</v>
      </c>
      <c r="K51" s="8" t="str">
        <f t="shared" si="7"/>
        <v>Bósnia</v>
      </c>
      <c r="L51" s="9">
        <f t="shared" si="8"/>
        <v>2</v>
      </c>
      <c r="M51" s="9">
        <f t="shared" si="9"/>
        <v>1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1" x14ac:dyDescent="0.3">
      <c r="A52" s="67">
        <v>46197</v>
      </c>
      <c r="B52" s="65">
        <v>0.79166666666666663</v>
      </c>
      <c r="C52" s="70" t="s">
        <v>4</v>
      </c>
      <c r="D52" s="69">
        <v>2</v>
      </c>
      <c r="E52" s="69" t="s">
        <v>1</v>
      </c>
      <c r="F52" s="69">
        <v>0</v>
      </c>
      <c r="G52" s="70" t="s">
        <v>118</v>
      </c>
      <c r="K52" s="8" t="str">
        <f t="shared" si="7"/>
        <v>Marrocos</v>
      </c>
      <c r="L52" s="9">
        <f t="shared" si="8"/>
        <v>2</v>
      </c>
      <c r="M52" s="9">
        <f t="shared" si="9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1" x14ac:dyDescent="0.3">
      <c r="A53" s="67">
        <v>46197</v>
      </c>
      <c r="B53" s="65">
        <v>0.79166666666666663</v>
      </c>
      <c r="C53" s="70" t="s">
        <v>119</v>
      </c>
      <c r="D53" s="69">
        <v>1</v>
      </c>
      <c r="E53" s="69" t="s">
        <v>1</v>
      </c>
      <c r="F53" s="69">
        <v>3</v>
      </c>
      <c r="G53" s="70" t="s">
        <v>11</v>
      </c>
      <c r="K53" s="8" t="str">
        <f t="shared" si="7"/>
        <v>Brasil</v>
      </c>
      <c r="L53" s="9">
        <f t="shared" si="8"/>
        <v>3</v>
      </c>
      <c r="M53" s="9">
        <f t="shared" si="9"/>
        <v>1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1" x14ac:dyDescent="0.3">
      <c r="A54" s="64">
        <v>46197</v>
      </c>
      <c r="B54" s="65">
        <v>0.91666666666666663</v>
      </c>
      <c r="C54" s="66" t="s">
        <v>90</v>
      </c>
      <c r="D54" s="49">
        <v>1</v>
      </c>
      <c r="E54" s="49" t="s">
        <v>1</v>
      </c>
      <c r="F54" s="49">
        <v>2</v>
      </c>
      <c r="G54" s="66" t="s">
        <v>15</v>
      </c>
      <c r="K54" s="8" t="str">
        <f t="shared" si="7"/>
        <v>Coréia do Sul</v>
      </c>
      <c r="L54" s="9">
        <f t="shared" si="8"/>
        <v>2</v>
      </c>
      <c r="M54" s="9">
        <f t="shared" si="9"/>
        <v>1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1" x14ac:dyDescent="0.3">
      <c r="A55" s="64">
        <v>46197</v>
      </c>
      <c r="B55" s="65">
        <v>0.91666666666666663</v>
      </c>
      <c r="C55" s="66" t="s">
        <v>116</v>
      </c>
      <c r="D55" s="49">
        <v>0</v>
      </c>
      <c r="E55" s="49" t="s">
        <v>1</v>
      </c>
      <c r="F55" s="49">
        <v>1</v>
      </c>
      <c r="G55" s="66" t="s">
        <v>13</v>
      </c>
      <c r="K55" s="8" t="str">
        <f t="shared" si="7"/>
        <v>México</v>
      </c>
      <c r="L55" s="9">
        <f t="shared" si="8"/>
        <v>1</v>
      </c>
      <c r="M55" s="9">
        <f t="shared" si="9"/>
        <v>0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1" x14ac:dyDescent="0.3">
      <c r="A56" s="64">
        <v>46198</v>
      </c>
      <c r="B56" s="65">
        <v>0.70833333333333337</v>
      </c>
      <c r="C56" s="48" t="s">
        <v>107</v>
      </c>
      <c r="D56" s="49">
        <v>1</v>
      </c>
      <c r="E56" s="49" t="s">
        <v>1</v>
      </c>
      <c r="F56" s="49">
        <v>4</v>
      </c>
      <c r="G56" s="48" t="s">
        <v>12</v>
      </c>
      <c r="K56" s="8" t="str">
        <f t="shared" si="7"/>
        <v>Alemanha</v>
      </c>
      <c r="L56" s="9">
        <f t="shared" si="8"/>
        <v>4</v>
      </c>
      <c r="M56" s="9">
        <f t="shared" si="9"/>
        <v>1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1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1</v>
      </c>
      <c r="G57" s="48" t="s">
        <v>123</v>
      </c>
      <c r="K57" s="8" t="str">
        <f t="shared" si="7"/>
        <v>Costa do Marfim</v>
      </c>
      <c r="L57" s="9">
        <f t="shared" si="8"/>
        <v>1</v>
      </c>
      <c r="M57" s="9">
        <f t="shared" si="9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1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3</v>
      </c>
      <c r="G58" s="48" t="s">
        <v>80</v>
      </c>
      <c r="K58" s="8" t="str">
        <f t="shared" si="7"/>
        <v>Holanda</v>
      </c>
      <c r="L58" s="9">
        <f t="shared" si="8"/>
        <v>3</v>
      </c>
      <c r="M58" s="9">
        <f t="shared" si="9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1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1</v>
      </c>
      <c r="G59" s="48" t="s">
        <v>14</v>
      </c>
      <c r="K59" s="8" t="str">
        <f t="shared" si="7"/>
        <v>Japão</v>
      </c>
      <c r="L59" s="9">
        <f t="shared" si="8"/>
        <v>2</v>
      </c>
      <c r="M59" s="9">
        <f t="shared" si="9"/>
        <v>1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1" x14ac:dyDescent="0.3">
      <c r="A60" s="64">
        <v>46198</v>
      </c>
      <c r="B60" s="65">
        <v>0.95833333333333337</v>
      </c>
      <c r="C60" s="48" t="s">
        <v>121</v>
      </c>
      <c r="D60" s="49">
        <v>0</v>
      </c>
      <c r="E60" s="49" t="s">
        <v>1</v>
      </c>
      <c r="F60" s="49">
        <v>1</v>
      </c>
      <c r="G60" s="48" t="s">
        <v>109</v>
      </c>
      <c r="K60" s="8" t="str">
        <f t="shared" si="7"/>
        <v>Estados Unidos</v>
      </c>
      <c r="L60" s="9">
        <f t="shared" si="8"/>
        <v>1</v>
      </c>
      <c r="M60" s="9">
        <f t="shared" si="9"/>
        <v>0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1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1</v>
      </c>
      <c r="G61" s="48" t="s">
        <v>8</v>
      </c>
      <c r="K61" s="8" t="str">
        <f t="shared" ref="K61:K66" si="10">IF(D61="","",IF(D61&gt;F61,C61,IF(F61&gt;D61,G61,"EMPATE")))</f>
        <v>EMPATE</v>
      </c>
      <c r="L61" s="9">
        <f t="shared" ref="L61:L66" si="11">IF(D61="","",IF(D61&gt;F61,D61,IF(F61&gt;D61,F61,D61)))</f>
        <v>1</v>
      </c>
      <c r="M61" s="9">
        <f t="shared" ref="M61:M66" si="12">IF(D61="","",IF(D61&lt;F61,D61,IF(F61&lt;D61,F61,D61)))</f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1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1</v>
      </c>
      <c r="G62" s="48" t="s">
        <v>127</v>
      </c>
      <c r="K62" s="8" t="str">
        <f t="shared" si="10"/>
        <v>Senegal</v>
      </c>
      <c r="L62" s="9">
        <f t="shared" si="11"/>
        <v>2</v>
      </c>
      <c r="M62" s="9">
        <f t="shared" si="12"/>
        <v>1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1" x14ac:dyDescent="0.3">
      <c r="A63" s="64">
        <v>46199</v>
      </c>
      <c r="B63" s="65">
        <v>0.66666666666666663</v>
      </c>
      <c r="C63" s="48" t="s">
        <v>128</v>
      </c>
      <c r="D63" s="49">
        <v>1</v>
      </c>
      <c r="E63" s="49" t="s">
        <v>1</v>
      </c>
      <c r="F63" s="49">
        <v>2</v>
      </c>
      <c r="G63" s="48" t="s">
        <v>7</v>
      </c>
      <c r="K63" s="8" t="str">
        <f t="shared" si="10"/>
        <v>França</v>
      </c>
      <c r="L63" s="9">
        <f t="shared" si="11"/>
        <v>2</v>
      </c>
      <c r="M63" s="9">
        <f t="shared" si="12"/>
        <v>1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1" x14ac:dyDescent="0.3">
      <c r="A64" s="64">
        <v>46199</v>
      </c>
      <c r="B64" s="65">
        <v>0.875</v>
      </c>
      <c r="C64" s="48" t="s">
        <v>126</v>
      </c>
      <c r="D64" s="49">
        <v>1</v>
      </c>
      <c r="E64" s="49" t="s">
        <v>1</v>
      </c>
      <c r="F64" s="49">
        <v>1</v>
      </c>
      <c r="G64" s="48" t="s">
        <v>2</v>
      </c>
      <c r="K64" s="8" t="str">
        <f t="shared" si="10"/>
        <v>EMPATE</v>
      </c>
      <c r="L64" s="9">
        <f t="shared" si="11"/>
        <v>1</v>
      </c>
      <c r="M64" s="9">
        <f t="shared" si="12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2</v>
      </c>
      <c r="G65" s="48" t="s">
        <v>6</v>
      </c>
      <c r="K65" s="8" t="str">
        <f t="shared" si="10"/>
        <v>Espanha</v>
      </c>
      <c r="L65" s="9">
        <f t="shared" si="11"/>
        <v>2</v>
      </c>
      <c r="M65" s="9">
        <f t="shared" si="12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1</v>
      </c>
      <c r="E66" s="49" t="s">
        <v>1</v>
      </c>
      <c r="F66" s="49">
        <v>1</v>
      </c>
      <c r="G66" s="48" t="s">
        <v>108</v>
      </c>
      <c r="K66" s="8" t="str">
        <f t="shared" si="10"/>
        <v>EMPATE</v>
      </c>
      <c r="L66" s="9">
        <f t="shared" si="11"/>
        <v>1</v>
      </c>
      <c r="M66" s="9">
        <f t="shared" si="12"/>
        <v>1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1</v>
      </c>
      <c r="E67" s="49" t="s">
        <v>1</v>
      </c>
      <c r="F67" s="49">
        <v>1</v>
      </c>
      <c r="G67" s="48" t="s">
        <v>16</v>
      </c>
      <c r="K67" s="8" t="str">
        <f t="shared" ref="K67:K105" si="13">IF(D67="","",IF(D67&gt;F67,C67,IF(F67&gt;D67,G67,"EMPATE")))</f>
        <v>EMPATE</v>
      </c>
      <c r="L67" s="9">
        <f t="shared" ref="L67:L105" si="14">IF(D67="","",IF(D67&gt;F67,D67,IF(F67&gt;D67,F67,D67)))</f>
        <v>1</v>
      </c>
      <c r="M67" s="9">
        <f t="shared" ref="M67:M105" si="15">IF(D67="","",IF(D67&lt;F67,D67,IF(F67&lt;D67,F67,D67)))</f>
        <v>1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2</v>
      </c>
      <c r="E68" s="49" t="s">
        <v>1</v>
      </c>
      <c r="F68" s="49">
        <v>0</v>
      </c>
      <c r="G68" s="48" t="s">
        <v>111</v>
      </c>
      <c r="K68" s="8" t="str">
        <f t="shared" si="13"/>
        <v>Croácia</v>
      </c>
      <c r="L68" s="9">
        <f t="shared" si="14"/>
        <v>2</v>
      </c>
      <c r="M68" s="9">
        <f t="shared" si="15"/>
        <v>0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3</v>
      </c>
      <c r="G69" s="48" t="s">
        <v>18</v>
      </c>
      <c r="K69" s="8" t="str">
        <f t="shared" si="13"/>
        <v>Inglaterra</v>
      </c>
      <c r="L69" s="9">
        <f t="shared" si="14"/>
        <v>3</v>
      </c>
      <c r="M69" s="9">
        <f t="shared" si="15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1</v>
      </c>
      <c r="G70" s="48" t="s">
        <v>133</v>
      </c>
      <c r="K70" s="8" t="str">
        <f t="shared" si="13"/>
        <v>EMPATE</v>
      </c>
      <c r="L70" s="9">
        <f t="shared" si="14"/>
        <v>1</v>
      </c>
      <c r="M70" s="9">
        <f t="shared" si="15"/>
        <v>1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2</v>
      </c>
      <c r="E71" s="49" t="s">
        <v>1</v>
      </c>
      <c r="F71" s="49">
        <v>2</v>
      </c>
      <c r="G71" s="48" t="s">
        <v>5</v>
      </c>
      <c r="K71" s="8" t="str">
        <f t="shared" si="13"/>
        <v>EMPATE</v>
      </c>
      <c r="L71" s="9">
        <f t="shared" si="14"/>
        <v>2</v>
      </c>
      <c r="M71" s="9">
        <f t="shared" si="15"/>
        <v>2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3</v>
      </c>
      <c r="G72" s="48" t="s">
        <v>9</v>
      </c>
      <c r="K72" s="8" t="str">
        <f t="shared" si="13"/>
        <v>Argentina</v>
      </c>
      <c r="L72" s="9">
        <f t="shared" si="14"/>
        <v>3</v>
      </c>
      <c r="M72" s="9">
        <f t="shared" si="15"/>
        <v>0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2</v>
      </c>
      <c r="G73" s="48" t="s">
        <v>130</v>
      </c>
      <c r="K73" s="8" t="str">
        <f t="shared" si="13"/>
        <v>Áustria</v>
      </c>
      <c r="L73" s="9">
        <f t="shared" si="14"/>
        <v>2</v>
      </c>
      <c r="M73" s="9">
        <f t="shared" si="15"/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13"/>
        <v/>
      </c>
      <c r="L74" s="9" t="str">
        <f t="shared" si="14"/>
        <v/>
      </c>
      <c r="M74" s="9" t="str">
        <f t="shared" si="15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3"/>
        <v/>
      </c>
      <c r="L75" s="9" t="str">
        <f t="shared" si="14"/>
        <v/>
      </c>
      <c r="M75" s="9" t="str">
        <f t="shared" si="15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3"/>
        <v/>
      </c>
      <c r="L76" s="9" t="str">
        <f t="shared" si="14"/>
        <v/>
      </c>
      <c r="M76" s="9" t="str">
        <f t="shared" si="15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3"/>
        <v/>
      </c>
      <c r="L77" s="9" t="str">
        <f t="shared" si="14"/>
        <v/>
      </c>
      <c r="M77" s="9" t="str">
        <f t="shared" si="15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3"/>
        <v/>
      </c>
      <c r="L78" s="9" t="str">
        <f t="shared" si="14"/>
        <v/>
      </c>
      <c r="M78" s="9" t="str">
        <f t="shared" si="15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3"/>
        <v/>
      </c>
      <c r="L79" s="9" t="str">
        <f t="shared" si="14"/>
        <v/>
      </c>
      <c r="M79" s="9" t="str">
        <f t="shared" si="15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3"/>
        <v/>
      </c>
      <c r="L80" s="9" t="str">
        <f t="shared" si="14"/>
        <v/>
      </c>
      <c r="M80" s="9" t="str">
        <f t="shared" si="15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3"/>
        <v/>
      </c>
      <c r="L81" s="9" t="str">
        <f t="shared" si="14"/>
        <v/>
      </c>
      <c r="M81" s="9" t="str">
        <f t="shared" si="15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3"/>
        <v/>
      </c>
      <c r="L82" s="9" t="str">
        <f t="shared" si="14"/>
        <v/>
      </c>
      <c r="M82" s="9" t="str">
        <f t="shared" si="15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3"/>
        <v/>
      </c>
      <c r="L83" s="9" t="str">
        <f t="shared" si="14"/>
        <v/>
      </c>
      <c r="M83" s="9" t="str">
        <f t="shared" si="15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3"/>
        <v/>
      </c>
      <c r="L84" s="9" t="str">
        <f t="shared" si="14"/>
        <v/>
      </c>
      <c r="M84" s="9" t="str">
        <f t="shared" si="15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3"/>
        <v/>
      </c>
      <c r="L85" s="9" t="str">
        <f t="shared" si="14"/>
        <v/>
      </c>
      <c r="M85" s="9" t="str">
        <f t="shared" si="15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3"/>
        <v/>
      </c>
      <c r="L86" s="9" t="str">
        <f t="shared" si="14"/>
        <v/>
      </c>
      <c r="M86" s="9" t="str">
        <f t="shared" si="15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3"/>
        <v/>
      </c>
      <c r="L87" s="9" t="str">
        <f t="shared" si="14"/>
        <v/>
      </c>
      <c r="M87" s="9" t="str">
        <f t="shared" si="15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3"/>
        <v/>
      </c>
      <c r="L88" s="9" t="str">
        <f t="shared" si="14"/>
        <v/>
      </c>
      <c r="M88" s="9" t="str">
        <f t="shared" si="15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3"/>
        <v/>
      </c>
      <c r="L89" s="9" t="str">
        <f t="shared" si="14"/>
        <v/>
      </c>
      <c r="M89" s="9" t="str">
        <f t="shared" si="15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3"/>
        <v/>
      </c>
      <c r="L90" s="9" t="str">
        <f t="shared" si="14"/>
        <v/>
      </c>
      <c r="M90" s="9" t="str">
        <f t="shared" si="15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3"/>
        <v/>
      </c>
      <c r="L91" s="9" t="str">
        <f t="shared" si="14"/>
        <v/>
      </c>
      <c r="M91" s="9" t="str">
        <f t="shared" si="15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3"/>
        <v/>
      </c>
      <c r="L92" s="9" t="str">
        <f t="shared" si="14"/>
        <v/>
      </c>
      <c r="M92" s="9" t="str">
        <f t="shared" si="15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3"/>
        <v/>
      </c>
      <c r="L93" s="9" t="str">
        <f t="shared" si="14"/>
        <v/>
      </c>
      <c r="M93" s="9" t="str">
        <f t="shared" si="15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3"/>
        <v/>
      </c>
      <c r="L94" s="9" t="str">
        <f t="shared" si="14"/>
        <v/>
      </c>
      <c r="M94" s="9" t="str">
        <f t="shared" si="15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3"/>
        <v/>
      </c>
      <c r="L95" s="9" t="str">
        <f t="shared" si="14"/>
        <v/>
      </c>
      <c r="M95" s="9" t="str">
        <f t="shared" si="15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3"/>
        <v/>
      </c>
      <c r="L96" s="9" t="str">
        <f t="shared" si="14"/>
        <v/>
      </c>
      <c r="M96" s="9" t="str">
        <f t="shared" si="15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3"/>
        <v/>
      </c>
      <c r="L97" s="9" t="str">
        <f t="shared" si="14"/>
        <v/>
      </c>
      <c r="M97" s="9" t="str">
        <f t="shared" si="15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3"/>
        <v/>
      </c>
      <c r="L98" s="9" t="str">
        <f t="shared" si="14"/>
        <v/>
      </c>
      <c r="M98" s="9" t="str">
        <f t="shared" si="15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3"/>
        <v/>
      </c>
      <c r="L99" s="9" t="str">
        <f t="shared" si="14"/>
        <v/>
      </c>
      <c r="M99" s="9" t="str">
        <f t="shared" si="15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3"/>
        <v/>
      </c>
      <c r="L100" s="9" t="str">
        <f t="shared" si="14"/>
        <v/>
      </c>
      <c r="M100" s="9" t="str">
        <f t="shared" si="15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3"/>
        <v/>
      </c>
      <c r="L101" s="9" t="str">
        <f t="shared" si="14"/>
        <v/>
      </c>
      <c r="M101" s="9" t="str">
        <f t="shared" si="15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3"/>
        <v/>
      </c>
      <c r="L102" s="9" t="str">
        <f t="shared" si="14"/>
        <v/>
      </c>
      <c r="M102" s="9" t="str">
        <f t="shared" si="15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3"/>
        <v/>
      </c>
      <c r="L103" s="9" t="str">
        <f t="shared" si="14"/>
        <v/>
      </c>
      <c r="M103" s="9" t="str">
        <f t="shared" si="15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3"/>
        <v/>
      </c>
      <c r="L104" s="9" t="str">
        <f t="shared" si="14"/>
        <v/>
      </c>
      <c r="M104" s="9" t="str">
        <f t="shared" si="15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3"/>
        <v/>
      </c>
      <c r="L105" s="9" t="str">
        <f t="shared" si="14"/>
        <v/>
      </c>
      <c r="M105" s="9" t="str">
        <f t="shared" si="15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  <col min="16" max="21" width="8.88671875" style="103"/>
    <col min="22" max="22" width="12.21875" style="103" bestFit="1" customWidth="1"/>
    <col min="23" max="29" width="8.88671875" style="103"/>
  </cols>
  <sheetData>
    <row r="1" spans="1:26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101</v>
      </c>
      <c r="I1" s="149"/>
      <c r="J1" s="156"/>
      <c r="K1" s="3" t="s">
        <v>34</v>
      </c>
      <c r="L1" s="3" t="s">
        <v>32</v>
      </c>
      <c r="M1" s="3" t="s">
        <v>33</v>
      </c>
      <c r="O1" s="101" t="s">
        <v>35</v>
      </c>
    </row>
    <row r="2" spans="1:26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0</v>
      </c>
      <c r="G2" s="66" t="s">
        <v>90</v>
      </c>
      <c r="H2" s="155"/>
      <c r="I2" s="149"/>
      <c r="J2" s="156"/>
      <c r="K2" s="8" t="str">
        <f t="shared" ref="K2:K3" si="0">IF(D2="","",IF(D2&gt;F2,C2,IF(F2&gt;D2,G2,"EMPATE")))</f>
        <v>México</v>
      </c>
      <c r="L2" s="9">
        <f>IF(D2="","",IF(D2&gt;F2,D2,IF(F2&gt;D2,F2,D2)))</f>
        <v>2</v>
      </c>
      <c r="M2" s="9">
        <f t="shared" ref="M2:M3" si="1">IF(D2="","",IF(D2&lt;F2,D2,IF(F2&lt;D2,F2,D2)))</f>
        <v>0</v>
      </c>
      <c r="O2" s="102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Q2" s="104"/>
      <c r="R2" s="105"/>
      <c r="S2" s="105"/>
      <c r="T2" s="105"/>
      <c r="U2" s="104"/>
      <c r="V2" s="106"/>
      <c r="W2" s="107"/>
      <c r="Z2" s="106"/>
    </row>
    <row r="3" spans="1:26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EMPATE</v>
      </c>
      <c r="L3" s="9">
        <f t="shared" ref="L3:L4" si="2">IF(D3="","",IF(D3&gt;F3,D3,IF(F3&gt;D3,F3,D3)))</f>
        <v>1</v>
      </c>
      <c r="M3" s="9">
        <f t="shared" si="1"/>
        <v>1</v>
      </c>
      <c r="O3" s="102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Q3" s="104"/>
      <c r="R3" s="105"/>
      <c r="S3" s="105"/>
      <c r="T3" s="105"/>
      <c r="U3" s="104"/>
      <c r="V3" s="106"/>
      <c r="W3" s="107"/>
      <c r="Z3" s="106"/>
    </row>
    <row r="4" spans="1:26" ht="15.75" customHeight="1" x14ac:dyDescent="0.3">
      <c r="A4" s="64">
        <v>46185</v>
      </c>
      <c r="B4" s="65">
        <v>0.66666666666666663</v>
      </c>
      <c r="C4" s="66" t="s">
        <v>110</v>
      </c>
      <c r="D4" s="49">
        <v>0</v>
      </c>
      <c r="E4" s="49" t="s">
        <v>1</v>
      </c>
      <c r="F4" s="49">
        <v>2</v>
      </c>
      <c r="G4" s="66" t="s">
        <v>117</v>
      </c>
      <c r="K4" s="8" t="str">
        <f t="shared" ref="K4:K67" si="3">IF(D4="","",IF(D4&gt;F4,C4,IF(F4&gt;D4,G4,"EMPATE")))</f>
        <v>Bósnia</v>
      </c>
      <c r="L4" s="9">
        <f t="shared" si="2"/>
        <v>2</v>
      </c>
      <c r="M4" s="9">
        <f t="shared" ref="M4:M67" si="4">IF(D4="","",IF(D4&lt;F4,D4,IF(F4&lt;D4,F4,D4)))</f>
        <v>0</v>
      </c>
      <c r="O4" s="102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104"/>
      <c r="R4" s="105"/>
      <c r="S4" s="105"/>
      <c r="T4" s="105"/>
      <c r="U4" s="104"/>
      <c r="V4" s="106"/>
      <c r="W4" s="107"/>
      <c r="Z4" s="106"/>
    </row>
    <row r="5" spans="1:26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0</v>
      </c>
      <c r="G5" s="66" t="s">
        <v>120</v>
      </c>
      <c r="I5" s="18"/>
      <c r="K5" s="8" t="str">
        <f t="shared" si="3"/>
        <v>Estados Unidos</v>
      </c>
      <c r="L5" s="9">
        <f t="shared" ref="L5:L68" si="5">IF(D5="","",IF(D5&gt;F5,D5,IF(F5&gt;D5,F5,D5)))</f>
        <v>2</v>
      </c>
      <c r="M5" s="9">
        <f t="shared" si="4"/>
        <v>0</v>
      </c>
      <c r="O5" s="102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3</v>
      </c>
      <c r="Q5" s="104"/>
      <c r="R5" s="105"/>
      <c r="S5" s="105"/>
      <c r="T5" s="105"/>
      <c r="U5" s="104"/>
      <c r="V5" s="106"/>
      <c r="W5" s="107"/>
      <c r="Z5" s="106"/>
    </row>
    <row r="6" spans="1:26" ht="15.75" customHeight="1" x14ac:dyDescent="0.3">
      <c r="A6" s="64">
        <v>46186</v>
      </c>
      <c r="B6" s="65">
        <v>0.66666666666666663</v>
      </c>
      <c r="C6" s="66" t="s">
        <v>99</v>
      </c>
      <c r="D6" s="49">
        <v>2</v>
      </c>
      <c r="E6" s="49" t="s">
        <v>1</v>
      </c>
      <c r="F6" s="49">
        <v>0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Catar</v>
      </c>
      <c r="L6" s="9">
        <f t="shared" si="5"/>
        <v>2</v>
      </c>
      <c r="M6" s="9">
        <f t="shared" si="4"/>
        <v>0</v>
      </c>
      <c r="O6" s="102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104"/>
      <c r="R6" s="105"/>
      <c r="S6" s="105"/>
      <c r="T6" s="105"/>
      <c r="U6" s="104"/>
      <c r="V6" s="106"/>
      <c r="W6" s="107"/>
      <c r="Z6" s="106"/>
    </row>
    <row r="7" spans="1:26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0</v>
      </c>
      <c r="G7" s="66" t="s">
        <v>4</v>
      </c>
      <c r="H7" s="15">
        <v>9</v>
      </c>
      <c r="I7" s="15">
        <f>COUNTIF($O$2:$O$65,9)</f>
        <v>3</v>
      </c>
      <c r="J7" s="15">
        <f>H7*I7</f>
        <v>27</v>
      </c>
      <c r="K7" s="8" t="str">
        <f t="shared" si="3"/>
        <v>Brasil</v>
      </c>
      <c r="L7" s="9">
        <f t="shared" si="5"/>
        <v>2</v>
      </c>
      <c r="M7" s="9">
        <f t="shared" si="4"/>
        <v>0</v>
      </c>
      <c r="O7" s="102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104"/>
      <c r="R7" s="105"/>
      <c r="S7" s="105"/>
      <c r="T7" s="105"/>
      <c r="U7" s="104"/>
      <c r="V7" s="106"/>
      <c r="W7" s="107"/>
      <c r="Z7" s="106"/>
    </row>
    <row r="8" spans="1:26" ht="15.75" customHeight="1" x14ac:dyDescent="0.3">
      <c r="A8" s="64">
        <v>46186</v>
      </c>
      <c r="B8" s="65">
        <v>0.91666666666666663</v>
      </c>
      <c r="C8" s="66" t="s">
        <v>118</v>
      </c>
      <c r="D8" s="49">
        <v>1</v>
      </c>
      <c r="E8" s="49" t="s">
        <v>1</v>
      </c>
      <c r="F8" s="49">
        <v>1</v>
      </c>
      <c r="G8" s="66" t="s">
        <v>119</v>
      </c>
      <c r="H8" s="15">
        <v>6</v>
      </c>
      <c r="I8" s="15">
        <f>COUNTIF($O$2:$O$65,6)</f>
        <v>3</v>
      </c>
      <c r="J8" s="15">
        <f t="shared" ref="J8:J11" si="6">H8*I8</f>
        <v>18</v>
      </c>
      <c r="K8" s="8" t="str">
        <f t="shared" si="3"/>
        <v>EMPATE</v>
      </c>
      <c r="L8" s="9">
        <f t="shared" si="5"/>
        <v>1</v>
      </c>
      <c r="M8" s="9">
        <f t="shared" si="4"/>
        <v>1</v>
      </c>
      <c r="O8" s="102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  <c r="Q8" s="104"/>
      <c r="R8" s="105"/>
      <c r="S8" s="105"/>
      <c r="T8" s="105"/>
      <c r="U8" s="104"/>
      <c r="V8" s="106"/>
      <c r="W8" s="107"/>
      <c r="Z8" s="106"/>
    </row>
    <row r="9" spans="1:26" ht="15.75" customHeight="1" x14ac:dyDescent="0.3">
      <c r="A9" s="64">
        <v>46187</v>
      </c>
      <c r="B9" s="65">
        <v>4.1666666666666664E-2</v>
      </c>
      <c r="C9" s="66" t="s">
        <v>8</v>
      </c>
      <c r="D9" s="49">
        <v>2</v>
      </c>
      <c r="E9" s="49" t="s">
        <v>1</v>
      </c>
      <c r="F9" s="49">
        <v>1</v>
      </c>
      <c r="G9" s="66" t="s">
        <v>121</v>
      </c>
      <c r="H9" s="15">
        <v>4</v>
      </c>
      <c r="I9" s="15">
        <f>COUNTIF($O$2:$O$65,4)</f>
        <v>6</v>
      </c>
      <c r="J9" s="15">
        <f t="shared" si="6"/>
        <v>24</v>
      </c>
      <c r="K9" s="8" t="str">
        <f t="shared" si="3"/>
        <v>Austrália</v>
      </c>
      <c r="L9" s="9">
        <f t="shared" si="5"/>
        <v>2</v>
      </c>
      <c r="M9" s="9">
        <f t="shared" si="4"/>
        <v>1</v>
      </c>
      <c r="O9" s="102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6</v>
      </c>
      <c r="Q9" s="104"/>
      <c r="R9" s="105"/>
      <c r="S9" s="105"/>
      <c r="T9" s="105"/>
      <c r="U9" s="104"/>
      <c r="V9" s="106"/>
      <c r="W9" s="107"/>
      <c r="Z9" s="106"/>
    </row>
    <row r="10" spans="1:26" ht="15.6" x14ac:dyDescent="0.3">
      <c r="A10" s="64">
        <v>46187</v>
      </c>
      <c r="B10" s="65">
        <v>0.58333333333333337</v>
      </c>
      <c r="C10" s="66" t="s">
        <v>12</v>
      </c>
      <c r="D10" s="49">
        <v>4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9</v>
      </c>
      <c r="J10" s="15">
        <f t="shared" si="6"/>
        <v>27</v>
      </c>
      <c r="K10" s="8" t="str">
        <f t="shared" si="3"/>
        <v>Alemanha</v>
      </c>
      <c r="L10" s="9">
        <f t="shared" si="5"/>
        <v>4</v>
      </c>
      <c r="M10" s="9">
        <f t="shared" si="4"/>
        <v>0</v>
      </c>
      <c r="O10" s="102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104"/>
      <c r="R10" s="105"/>
      <c r="S10" s="105"/>
      <c r="T10" s="105"/>
      <c r="U10" s="104"/>
      <c r="V10" s="106"/>
      <c r="Z10" s="106"/>
    </row>
    <row r="11" spans="1:26" ht="15.6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3</v>
      </c>
      <c r="G11" s="66" t="s">
        <v>19</v>
      </c>
      <c r="H11" s="15">
        <v>0</v>
      </c>
      <c r="I11" s="15">
        <f>COUNTIF($O$2:$O$65,0)</f>
        <v>23</v>
      </c>
      <c r="J11" s="15">
        <f t="shared" si="6"/>
        <v>0</v>
      </c>
      <c r="K11" s="8" t="str">
        <f t="shared" si="3"/>
        <v>Japão</v>
      </c>
      <c r="L11" s="9">
        <f t="shared" si="5"/>
        <v>3</v>
      </c>
      <c r="M11" s="9">
        <f t="shared" si="4"/>
        <v>2</v>
      </c>
      <c r="O11" s="102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104"/>
      <c r="R11" s="105"/>
      <c r="S11" s="105"/>
      <c r="T11" s="105"/>
      <c r="U11" s="104"/>
      <c r="V11" s="106"/>
      <c r="Z11" s="106"/>
    </row>
    <row r="12" spans="1:26" ht="18" x14ac:dyDescent="0.35">
      <c r="A12" s="64">
        <v>46187</v>
      </c>
      <c r="B12" s="65">
        <v>0.83333333333333337</v>
      </c>
      <c r="C12" s="66" t="s">
        <v>123</v>
      </c>
      <c r="D12" s="49">
        <v>2</v>
      </c>
      <c r="E12" s="49" t="s">
        <v>1</v>
      </c>
      <c r="F12" s="49">
        <v>2</v>
      </c>
      <c r="G12" s="66" t="s">
        <v>107</v>
      </c>
      <c r="H12" s="15"/>
      <c r="I12" s="16" t="s">
        <v>48</v>
      </c>
      <c r="J12" s="17">
        <f>SUM(J7:J11)</f>
        <v>96</v>
      </c>
      <c r="K12" s="8" t="str">
        <f t="shared" si="3"/>
        <v>EMPATE</v>
      </c>
      <c r="L12" s="9">
        <f t="shared" si="5"/>
        <v>2</v>
      </c>
      <c r="M12" s="9">
        <f t="shared" si="4"/>
        <v>2</v>
      </c>
      <c r="O12" s="102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104"/>
      <c r="R12" s="105"/>
      <c r="S12" s="105"/>
      <c r="T12" s="105"/>
      <c r="U12" s="104"/>
      <c r="V12" s="106"/>
      <c r="Z12" s="106"/>
    </row>
    <row r="13" spans="1:26" ht="15.6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1</v>
      </c>
      <c r="G13" s="66" t="s">
        <v>17</v>
      </c>
      <c r="K13" s="8" t="str">
        <f t="shared" si="3"/>
        <v>Suécia</v>
      </c>
      <c r="L13" s="9">
        <f t="shared" si="5"/>
        <v>2</v>
      </c>
      <c r="M13" s="9">
        <f t="shared" si="4"/>
        <v>1</v>
      </c>
      <c r="O13" s="102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  <c r="Q13" s="104"/>
      <c r="R13" s="105"/>
      <c r="S13" s="105"/>
      <c r="T13" s="105"/>
      <c r="U13" s="104"/>
      <c r="V13" s="106"/>
      <c r="Z13" s="106"/>
    </row>
    <row r="14" spans="1:26" ht="15.6" x14ac:dyDescent="0.3">
      <c r="A14" s="64">
        <v>46188</v>
      </c>
      <c r="B14" s="65">
        <v>0.54166666666666663</v>
      </c>
      <c r="C14" s="66" t="s">
        <v>6</v>
      </c>
      <c r="D14" s="49">
        <v>4</v>
      </c>
      <c r="E14" s="49" t="s">
        <v>1</v>
      </c>
      <c r="F14" s="49">
        <v>1</v>
      </c>
      <c r="G14" s="66" t="s">
        <v>126</v>
      </c>
      <c r="K14" s="8" t="str">
        <f t="shared" si="3"/>
        <v>Espanha</v>
      </c>
      <c r="L14" s="9">
        <f t="shared" si="5"/>
        <v>4</v>
      </c>
      <c r="M14" s="9">
        <f t="shared" si="4"/>
        <v>1</v>
      </c>
      <c r="O14" s="102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104"/>
      <c r="R14" s="105"/>
      <c r="S14" s="105"/>
      <c r="T14" s="105"/>
      <c r="U14" s="104"/>
      <c r="V14" s="106"/>
      <c r="Z14" s="106"/>
    </row>
    <row r="15" spans="1:26" ht="15.6" x14ac:dyDescent="0.3">
      <c r="A15" s="64">
        <v>46188</v>
      </c>
      <c r="B15" s="65">
        <v>0.66666666666666663</v>
      </c>
      <c r="C15" s="66" t="s">
        <v>16</v>
      </c>
      <c r="D15" s="49">
        <v>3</v>
      </c>
      <c r="E15" s="49" t="s">
        <v>1</v>
      </c>
      <c r="F15" s="49">
        <v>1</v>
      </c>
      <c r="G15" s="66" t="s">
        <v>124</v>
      </c>
      <c r="K15" s="8" t="str">
        <f t="shared" si="3"/>
        <v>Bélgica</v>
      </c>
      <c r="L15" s="9">
        <f t="shared" si="5"/>
        <v>3</v>
      </c>
      <c r="M15" s="9">
        <f t="shared" si="4"/>
        <v>1</v>
      </c>
      <c r="O15" s="102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104"/>
      <c r="R15" s="105"/>
      <c r="S15" s="105"/>
      <c r="T15" s="105"/>
      <c r="U15" s="104"/>
      <c r="V15" s="106"/>
      <c r="Z15" s="106"/>
    </row>
    <row r="16" spans="1:26" ht="15.6" x14ac:dyDescent="0.3">
      <c r="A16" s="64">
        <v>46188</v>
      </c>
      <c r="B16" s="65">
        <v>0.79166666666666663</v>
      </c>
      <c r="C16" s="66" t="s">
        <v>2</v>
      </c>
      <c r="D16" s="49">
        <v>0</v>
      </c>
      <c r="E16" s="49" t="s">
        <v>1</v>
      </c>
      <c r="F16" s="49">
        <v>3</v>
      </c>
      <c r="G16" s="66" t="s">
        <v>3</v>
      </c>
      <c r="K16" s="8" t="str">
        <f t="shared" si="3"/>
        <v>Uruguai</v>
      </c>
      <c r="L16" s="9">
        <f t="shared" si="5"/>
        <v>3</v>
      </c>
      <c r="M16" s="9">
        <f t="shared" si="4"/>
        <v>0</v>
      </c>
      <c r="O16" s="102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104"/>
      <c r="R16" s="105"/>
      <c r="S16" s="105"/>
      <c r="T16" s="105"/>
      <c r="U16" s="104"/>
      <c r="V16" s="106"/>
      <c r="Z16" s="106"/>
    </row>
    <row r="17" spans="1:26" ht="15.6" x14ac:dyDescent="0.3">
      <c r="A17" s="64">
        <v>46188</v>
      </c>
      <c r="B17" s="65">
        <v>0.91666666666666663</v>
      </c>
      <c r="C17" s="66" t="s">
        <v>108</v>
      </c>
      <c r="D17" s="49">
        <v>0</v>
      </c>
      <c r="E17" s="49" t="s">
        <v>1</v>
      </c>
      <c r="F17" s="49">
        <v>0</v>
      </c>
      <c r="G17" s="66" t="s">
        <v>125</v>
      </c>
      <c r="K17" s="8" t="str">
        <f t="shared" si="3"/>
        <v>EMPATE</v>
      </c>
      <c r="L17" s="9">
        <f t="shared" si="5"/>
        <v>0</v>
      </c>
      <c r="M17" s="9">
        <f t="shared" si="4"/>
        <v>0</v>
      </c>
      <c r="O17" s="102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  <c r="Q17" s="104"/>
      <c r="R17" s="105"/>
      <c r="S17" s="105"/>
      <c r="T17" s="105"/>
      <c r="U17" s="104"/>
      <c r="V17" s="106"/>
      <c r="Z17" s="106"/>
    </row>
    <row r="18" spans="1:26" ht="15.6" x14ac:dyDescent="0.3">
      <c r="A18" s="64">
        <v>46189</v>
      </c>
      <c r="B18" s="65">
        <v>0.66666666666666663</v>
      </c>
      <c r="C18" s="66" t="s">
        <v>7</v>
      </c>
      <c r="D18" s="49">
        <v>2</v>
      </c>
      <c r="E18" s="49" t="s">
        <v>1</v>
      </c>
      <c r="F18" s="49">
        <v>0</v>
      </c>
      <c r="G18" s="66" t="s">
        <v>20</v>
      </c>
      <c r="K18" s="8" t="str">
        <f t="shared" si="3"/>
        <v>França</v>
      </c>
      <c r="L18" s="9">
        <f t="shared" si="5"/>
        <v>2</v>
      </c>
      <c r="M18" s="9">
        <f t="shared" si="4"/>
        <v>0</v>
      </c>
      <c r="O18" s="102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3</v>
      </c>
      <c r="Q18" s="104"/>
      <c r="R18" s="105"/>
      <c r="S18" s="105"/>
      <c r="T18" s="105"/>
      <c r="U18" s="104"/>
      <c r="V18" s="106"/>
      <c r="Z18" s="106"/>
    </row>
    <row r="19" spans="1:26" ht="15.6" x14ac:dyDescent="0.3">
      <c r="A19" s="64">
        <v>46189</v>
      </c>
      <c r="B19" s="65">
        <v>0.79166666666666663</v>
      </c>
      <c r="C19" s="66" t="s">
        <v>127</v>
      </c>
      <c r="D19" s="49">
        <v>1</v>
      </c>
      <c r="E19" s="49" t="s">
        <v>1</v>
      </c>
      <c r="F19" s="49">
        <v>1</v>
      </c>
      <c r="G19" s="66" t="s">
        <v>128</v>
      </c>
      <c r="K19" s="8" t="str">
        <f t="shared" si="3"/>
        <v>EMPATE</v>
      </c>
      <c r="L19" s="9">
        <f t="shared" si="5"/>
        <v>1</v>
      </c>
      <c r="M19" s="9">
        <f t="shared" si="4"/>
        <v>1</v>
      </c>
      <c r="O19" s="102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  <c r="Q19" s="104"/>
      <c r="R19" s="105"/>
      <c r="S19" s="105"/>
      <c r="T19" s="105"/>
      <c r="U19" s="104"/>
      <c r="V19" s="106"/>
      <c r="Z19" s="106"/>
    </row>
    <row r="20" spans="1:26" ht="15.6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1</v>
      </c>
      <c r="G20" s="66" t="s">
        <v>129</v>
      </c>
      <c r="K20" s="8" t="str">
        <f t="shared" si="3"/>
        <v>Argentina</v>
      </c>
      <c r="L20" s="9">
        <f t="shared" si="5"/>
        <v>3</v>
      </c>
      <c r="M20" s="9">
        <f t="shared" si="4"/>
        <v>1</v>
      </c>
      <c r="O20" s="102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6</v>
      </c>
      <c r="Q20" s="104"/>
      <c r="R20" s="105"/>
      <c r="S20" s="105"/>
      <c r="T20" s="105"/>
      <c r="U20" s="104"/>
      <c r="V20" s="106"/>
      <c r="Z20" s="106"/>
    </row>
    <row r="21" spans="1:26" ht="15.6" x14ac:dyDescent="0.3">
      <c r="A21" s="64">
        <v>46190</v>
      </c>
      <c r="B21" s="65">
        <v>4.1666666666666664E-2</v>
      </c>
      <c r="C21" s="66" t="s">
        <v>130</v>
      </c>
      <c r="D21" s="49">
        <v>1</v>
      </c>
      <c r="E21" s="49" t="s">
        <v>1</v>
      </c>
      <c r="F21" s="49">
        <v>1</v>
      </c>
      <c r="G21" s="66" t="s">
        <v>131</v>
      </c>
      <c r="K21" s="8" t="str">
        <f t="shared" si="3"/>
        <v>EMPATE</v>
      </c>
      <c r="L21" s="9">
        <f t="shared" si="5"/>
        <v>1</v>
      </c>
      <c r="M21" s="9">
        <f t="shared" si="4"/>
        <v>1</v>
      </c>
      <c r="O21" s="102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0</v>
      </c>
      <c r="Q21" s="104"/>
      <c r="R21" s="105"/>
      <c r="S21" s="105"/>
      <c r="T21" s="105"/>
      <c r="U21" s="104"/>
      <c r="V21" s="106"/>
      <c r="Z21" s="106"/>
    </row>
    <row r="22" spans="1:26" ht="15.6" x14ac:dyDescent="0.3">
      <c r="A22" s="64">
        <v>46190</v>
      </c>
      <c r="B22" s="65">
        <v>0.58333333333333337</v>
      </c>
      <c r="C22" s="66" t="s">
        <v>5</v>
      </c>
      <c r="D22" s="49">
        <v>3</v>
      </c>
      <c r="E22" s="49" t="s">
        <v>1</v>
      </c>
      <c r="F22" s="49">
        <v>1</v>
      </c>
      <c r="G22" s="66" t="s">
        <v>132</v>
      </c>
      <c r="K22" s="8" t="str">
        <f t="shared" si="3"/>
        <v>Portugal</v>
      </c>
      <c r="L22" s="9">
        <f t="shared" si="5"/>
        <v>3</v>
      </c>
      <c r="M22" s="9">
        <f t="shared" si="4"/>
        <v>1</v>
      </c>
      <c r="O22" s="102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104"/>
      <c r="R22" s="105"/>
      <c r="S22" s="105"/>
      <c r="T22" s="105"/>
      <c r="U22" s="104"/>
      <c r="V22" s="106"/>
      <c r="Z22" s="106"/>
    </row>
    <row r="23" spans="1:26" ht="15.6" x14ac:dyDescent="0.3">
      <c r="A23" s="64">
        <v>46190</v>
      </c>
      <c r="B23" s="65">
        <v>0.70833333333333337</v>
      </c>
      <c r="C23" s="66" t="s">
        <v>18</v>
      </c>
      <c r="D23" s="49">
        <v>2</v>
      </c>
      <c r="E23" s="49" t="s">
        <v>1</v>
      </c>
      <c r="F23" s="49">
        <v>2</v>
      </c>
      <c r="G23" s="66" t="s">
        <v>10</v>
      </c>
      <c r="K23" s="8" t="str">
        <f t="shared" si="3"/>
        <v>EMPATE</v>
      </c>
      <c r="L23" s="9">
        <f t="shared" si="5"/>
        <v>2</v>
      </c>
      <c r="M23" s="9">
        <f t="shared" si="4"/>
        <v>2</v>
      </c>
      <c r="O23" s="102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  <c r="Q23" s="104"/>
      <c r="R23" s="105"/>
      <c r="S23" s="105"/>
      <c r="T23" s="105"/>
      <c r="U23" s="104"/>
      <c r="V23" s="106"/>
      <c r="Z23" s="106"/>
    </row>
    <row r="24" spans="1:26" ht="15.6" x14ac:dyDescent="0.3">
      <c r="A24" s="64">
        <v>46190</v>
      </c>
      <c r="B24" s="65">
        <v>0.83333333333333337</v>
      </c>
      <c r="C24" s="66" t="s">
        <v>111</v>
      </c>
      <c r="D24" s="49">
        <v>2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5"/>
        <v>2</v>
      </c>
      <c r="M24" s="9">
        <f t="shared" si="4"/>
        <v>1</v>
      </c>
      <c r="O24" s="102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Q24" s="104"/>
      <c r="R24" s="105"/>
      <c r="S24" s="105"/>
      <c r="T24" s="105"/>
      <c r="U24" s="104"/>
      <c r="V24" s="106"/>
      <c r="Z24" s="106"/>
    </row>
    <row r="25" spans="1:26" ht="15.6" x14ac:dyDescent="0.3">
      <c r="A25" s="64">
        <v>46190</v>
      </c>
      <c r="B25" s="65">
        <v>0.95833333333333337</v>
      </c>
      <c r="C25" s="66" t="s">
        <v>133</v>
      </c>
      <c r="D25" s="49">
        <v>1</v>
      </c>
      <c r="E25" s="49" t="s">
        <v>1</v>
      </c>
      <c r="F25" s="49">
        <v>2</v>
      </c>
      <c r="G25" s="66" t="s">
        <v>134</v>
      </c>
      <c r="K25" s="8" t="str">
        <f t="shared" si="3"/>
        <v>Colômbia</v>
      </c>
      <c r="L25" s="9">
        <f t="shared" si="5"/>
        <v>2</v>
      </c>
      <c r="M25" s="9">
        <f t="shared" si="4"/>
        <v>1</v>
      </c>
      <c r="O25" s="102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4</v>
      </c>
      <c r="Q25" s="104"/>
      <c r="R25" s="105"/>
      <c r="S25" s="105"/>
      <c r="T25" s="105"/>
      <c r="U25" s="104"/>
      <c r="V25" s="106"/>
      <c r="Z25" s="106"/>
    </row>
    <row r="26" spans="1:26" x14ac:dyDescent="0.3">
      <c r="A26" s="114">
        <v>46191</v>
      </c>
      <c r="B26" s="115">
        <v>0.54166666666666663</v>
      </c>
      <c r="C26" s="116" t="s">
        <v>116</v>
      </c>
      <c r="D26" s="117">
        <v>2</v>
      </c>
      <c r="E26" s="117" t="s">
        <v>1</v>
      </c>
      <c r="F26" s="117">
        <v>1</v>
      </c>
      <c r="G26" s="116" t="s">
        <v>90</v>
      </c>
      <c r="K26" s="8" t="str">
        <f t="shared" si="3"/>
        <v>República Tcheca</v>
      </c>
      <c r="L26" s="9">
        <f t="shared" si="5"/>
        <v>2</v>
      </c>
      <c r="M26" s="9">
        <f t="shared" si="4"/>
        <v>1</v>
      </c>
      <c r="O26" s="102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100"/>
      <c r="R26" s="52"/>
      <c r="S26" s="52"/>
      <c r="T26" s="52"/>
      <c r="U26" s="100"/>
      <c r="V26"/>
      <c r="W26"/>
      <c r="X26"/>
      <c r="Y26"/>
      <c r="Z26"/>
    </row>
    <row r="27" spans="1:26" x14ac:dyDescent="0.3">
      <c r="A27" s="114">
        <v>46191</v>
      </c>
      <c r="B27" s="115">
        <v>0.66666666666666663</v>
      </c>
      <c r="C27" s="116" t="s">
        <v>74</v>
      </c>
      <c r="D27" s="117">
        <v>1</v>
      </c>
      <c r="E27" s="117" t="s">
        <v>1</v>
      </c>
      <c r="F27" s="117">
        <v>2</v>
      </c>
      <c r="G27" s="116" t="s">
        <v>117</v>
      </c>
      <c r="K27" s="8" t="str">
        <f t="shared" si="3"/>
        <v>Bósnia</v>
      </c>
      <c r="L27" s="9">
        <f t="shared" si="5"/>
        <v>2</v>
      </c>
      <c r="M27" s="9">
        <f t="shared" si="4"/>
        <v>1</v>
      </c>
      <c r="O27" s="102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100"/>
      <c r="R27" s="52"/>
      <c r="S27" s="52"/>
      <c r="T27" s="52"/>
      <c r="U27" s="100"/>
      <c r="V27"/>
      <c r="W27"/>
      <c r="X27"/>
      <c r="Y27"/>
      <c r="Z27"/>
    </row>
    <row r="28" spans="1:26" x14ac:dyDescent="0.3">
      <c r="A28" s="114">
        <v>46191</v>
      </c>
      <c r="B28" s="115">
        <v>0.79166666666666663</v>
      </c>
      <c r="C28" s="116" t="s">
        <v>110</v>
      </c>
      <c r="D28" s="117">
        <v>3</v>
      </c>
      <c r="E28" s="117" t="s">
        <v>1</v>
      </c>
      <c r="F28" s="117">
        <v>1</v>
      </c>
      <c r="G28" s="116" t="s">
        <v>99</v>
      </c>
      <c r="K28" s="8" t="str">
        <f t="shared" si="3"/>
        <v>Canadá</v>
      </c>
      <c r="L28" s="9">
        <f t="shared" si="5"/>
        <v>3</v>
      </c>
      <c r="M28" s="9">
        <f t="shared" si="4"/>
        <v>1</v>
      </c>
      <c r="O28" s="102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100"/>
      <c r="R28" s="52"/>
      <c r="S28" s="52"/>
      <c r="T28" s="52"/>
      <c r="U28" s="100"/>
      <c r="V28"/>
      <c r="W28"/>
      <c r="X28"/>
      <c r="Y28"/>
      <c r="Z28"/>
    </row>
    <row r="29" spans="1:26" x14ac:dyDescent="0.3">
      <c r="A29" s="114">
        <v>46191</v>
      </c>
      <c r="B29" s="115">
        <v>0.91666666666666663</v>
      </c>
      <c r="C29" s="116" t="s">
        <v>13</v>
      </c>
      <c r="D29" s="117">
        <v>1</v>
      </c>
      <c r="E29" s="117" t="s">
        <v>1</v>
      </c>
      <c r="F29" s="117">
        <v>1</v>
      </c>
      <c r="G29" s="116" t="s">
        <v>15</v>
      </c>
      <c r="K29" s="8" t="str">
        <f t="shared" si="3"/>
        <v>EMPATE</v>
      </c>
      <c r="L29" s="9">
        <f t="shared" si="5"/>
        <v>1</v>
      </c>
      <c r="M29" s="9">
        <f t="shared" si="4"/>
        <v>1</v>
      </c>
      <c r="O29" s="102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100"/>
      <c r="R29" s="52"/>
      <c r="S29" s="52"/>
      <c r="T29" s="52"/>
      <c r="U29" s="100"/>
      <c r="V29"/>
      <c r="W29"/>
      <c r="X29"/>
      <c r="Y29"/>
      <c r="Z29"/>
    </row>
    <row r="30" spans="1:26" x14ac:dyDescent="0.3">
      <c r="A30" s="114">
        <v>46192</v>
      </c>
      <c r="B30" s="115">
        <v>0.66666666666666663</v>
      </c>
      <c r="C30" s="116" t="s">
        <v>109</v>
      </c>
      <c r="D30" s="117">
        <v>3</v>
      </c>
      <c r="E30" s="117" t="s">
        <v>1</v>
      </c>
      <c r="F30" s="117">
        <v>0</v>
      </c>
      <c r="G30" s="116" t="s">
        <v>8</v>
      </c>
      <c r="K30" s="8" t="str">
        <f t="shared" si="3"/>
        <v>Estados Unidos</v>
      </c>
      <c r="L30" s="9">
        <f t="shared" si="5"/>
        <v>3</v>
      </c>
      <c r="M30" s="9">
        <f t="shared" si="4"/>
        <v>0</v>
      </c>
      <c r="O30" s="102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4</v>
      </c>
      <c r="Q30" s="100"/>
      <c r="R30" s="52"/>
      <c r="S30" s="52"/>
      <c r="T30" s="52"/>
      <c r="U30" s="100"/>
      <c r="V30"/>
      <c r="W30"/>
      <c r="X30"/>
      <c r="Y30"/>
      <c r="Z30"/>
    </row>
    <row r="31" spans="1:26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2</v>
      </c>
      <c r="G31" s="116" t="s">
        <v>4</v>
      </c>
      <c r="K31" s="8" t="str">
        <f t="shared" si="3"/>
        <v>Marrocos</v>
      </c>
      <c r="L31" s="9">
        <f t="shared" si="5"/>
        <v>2</v>
      </c>
      <c r="M31" s="9">
        <f t="shared" si="4"/>
        <v>1</v>
      </c>
      <c r="O31" s="102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100"/>
      <c r="R31" s="52"/>
      <c r="S31" s="52"/>
      <c r="T31" s="52"/>
      <c r="U31" s="100"/>
      <c r="V31"/>
      <c r="W31"/>
      <c r="X31"/>
      <c r="Y31"/>
      <c r="Z31"/>
    </row>
    <row r="32" spans="1:26" x14ac:dyDescent="0.3">
      <c r="A32" s="114">
        <v>46192</v>
      </c>
      <c r="B32" s="115">
        <v>0.89583333333333337</v>
      </c>
      <c r="C32" s="116" t="s">
        <v>11</v>
      </c>
      <c r="D32" s="117">
        <v>3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5"/>
        <v>3</v>
      </c>
      <c r="M32" s="9">
        <f t="shared" si="4"/>
        <v>0</v>
      </c>
      <c r="O32" s="102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100"/>
      <c r="R32" s="52"/>
      <c r="S32" s="52"/>
      <c r="T32" s="52"/>
      <c r="U32" s="100"/>
      <c r="V32"/>
      <c r="W32"/>
      <c r="X32"/>
      <c r="Y32"/>
      <c r="Z32"/>
    </row>
    <row r="33" spans="1:26" x14ac:dyDescent="0.3">
      <c r="A33" s="114">
        <v>46193</v>
      </c>
      <c r="B33" s="115">
        <v>4.1666666666666664E-2</v>
      </c>
      <c r="C33" s="116" t="s">
        <v>121</v>
      </c>
      <c r="D33" s="117">
        <v>0</v>
      </c>
      <c r="E33" s="117" t="s">
        <v>1</v>
      </c>
      <c r="F33" s="117">
        <v>2</v>
      </c>
      <c r="G33" s="116" t="s">
        <v>120</v>
      </c>
      <c r="K33" s="8" t="str">
        <f t="shared" si="3"/>
        <v>Paraguai</v>
      </c>
      <c r="L33" s="9">
        <f t="shared" si="5"/>
        <v>2</v>
      </c>
      <c r="M33" s="9">
        <f t="shared" si="4"/>
        <v>0</v>
      </c>
      <c r="O33" s="102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4</v>
      </c>
      <c r="Q33" s="100"/>
      <c r="R33" s="52"/>
      <c r="S33" s="52"/>
      <c r="T33" s="52"/>
      <c r="U33" s="100"/>
      <c r="V33"/>
      <c r="W33"/>
      <c r="X33"/>
      <c r="Y33"/>
      <c r="Z33"/>
    </row>
    <row r="34" spans="1:26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2</v>
      </c>
      <c r="G34" s="116" t="s">
        <v>14</v>
      </c>
      <c r="K34" s="8" t="str">
        <f t="shared" si="3"/>
        <v>EMPATE</v>
      </c>
      <c r="L34" s="9">
        <f t="shared" si="5"/>
        <v>2</v>
      </c>
      <c r="M34" s="9">
        <f t="shared" si="4"/>
        <v>2</v>
      </c>
      <c r="O34" s="102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100"/>
      <c r="R34" s="52"/>
      <c r="S34" s="52"/>
      <c r="T34" s="52"/>
      <c r="U34" s="100"/>
      <c r="V34"/>
      <c r="W34"/>
      <c r="X34"/>
      <c r="Y34"/>
      <c r="Z34"/>
    </row>
    <row r="35" spans="1:26" x14ac:dyDescent="0.3">
      <c r="A35" s="114">
        <v>46193</v>
      </c>
      <c r="B35" s="115">
        <v>0.70833333333333337</v>
      </c>
      <c r="C35" s="116" t="s">
        <v>12</v>
      </c>
      <c r="D35" s="117">
        <v>4</v>
      </c>
      <c r="E35" s="117" t="s">
        <v>1</v>
      </c>
      <c r="F35" s="117">
        <v>1</v>
      </c>
      <c r="G35" s="116" t="s">
        <v>123</v>
      </c>
      <c r="K35" s="8" t="str">
        <f t="shared" si="3"/>
        <v>Alemanha</v>
      </c>
      <c r="L35" s="9">
        <f t="shared" si="5"/>
        <v>4</v>
      </c>
      <c r="M35" s="9">
        <f t="shared" si="4"/>
        <v>1</v>
      </c>
      <c r="O35" s="102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100"/>
      <c r="R35" s="52"/>
      <c r="S35" s="52"/>
      <c r="T35" s="52"/>
      <c r="U35" s="100"/>
      <c r="V35"/>
      <c r="W35"/>
      <c r="X35"/>
      <c r="Y35"/>
      <c r="Z35"/>
    </row>
    <row r="36" spans="1:26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1</v>
      </c>
      <c r="G36" s="116" t="s">
        <v>122</v>
      </c>
      <c r="K36" s="8" t="str">
        <f t="shared" si="3"/>
        <v>Equador</v>
      </c>
      <c r="L36" s="9">
        <f t="shared" si="5"/>
        <v>2</v>
      </c>
      <c r="M36" s="9">
        <f t="shared" si="4"/>
        <v>1</v>
      </c>
      <c r="O36" s="102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52"/>
      <c r="S36" s="52"/>
      <c r="T36" s="52"/>
      <c r="U36" s="100"/>
      <c r="V36"/>
      <c r="W36"/>
      <c r="X36"/>
      <c r="Y36"/>
      <c r="Z36"/>
    </row>
    <row r="37" spans="1:26" x14ac:dyDescent="0.3">
      <c r="A37" s="114">
        <v>46194</v>
      </c>
      <c r="B37" s="115">
        <v>4.1666666666666664E-2</v>
      </c>
      <c r="C37" s="116" t="s">
        <v>17</v>
      </c>
      <c r="D37" s="117">
        <v>0</v>
      </c>
      <c r="E37" s="117" t="s">
        <v>1</v>
      </c>
      <c r="F37" s="117">
        <v>2</v>
      </c>
      <c r="G37" s="116" t="s">
        <v>19</v>
      </c>
      <c r="K37" s="8" t="str">
        <f t="shared" si="3"/>
        <v>Japão</v>
      </c>
      <c r="L37" s="9">
        <f t="shared" si="5"/>
        <v>2</v>
      </c>
      <c r="M37" s="9">
        <f t="shared" si="4"/>
        <v>0</v>
      </c>
      <c r="O37" s="102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Q37" s="100"/>
      <c r="R37" s="52"/>
      <c r="S37" s="52"/>
      <c r="T37" s="52"/>
      <c r="U37" s="100"/>
      <c r="V37"/>
      <c r="W37"/>
      <c r="X37"/>
      <c r="Y37"/>
      <c r="Z37"/>
    </row>
    <row r="38" spans="1:26" x14ac:dyDescent="0.3">
      <c r="A38" s="114">
        <v>46194</v>
      </c>
      <c r="B38" s="115">
        <v>0.54166666666666663</v>
      </c>
      <c r="C38" s="116" t="s">
        <v>6</v>
      </c>
      <c r="D38" s="117">
        <v>3</v>
      </c>
      <c r="E38" s="117" t="s">
        <v>1</v>
      </c>
      <c r="F38" s="117">
        <v>1</v>
      </c>
      <c r="G38" s="116" t="s">
        <v>2</v>
      </c>
      <c r="K38" s="8" t="str">
        <f t="shared" si="3"/>
        <v>Espanha</v>
      </c>
      <c r="L38" s="9">
        <f t="shared" si="5"/>
        <v>3</v>
      </c>
      <c r="M38" s="9">
        <f t="shared" si="4"/>
        <v>1</v>
      </c>
      <c r="O38" s="102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  <c r="Q38" s="100"/>
      <c r="R38" s="52"/>
      <c r="S38" s="52"/>
      <c r="T38" s="52"/>
      <c r="U38" s="100"/>
      <c r="V38"/>
      <c r="W38"/>
      <c r="X38"/>
      <c r="Y38"/>
      <c r="Z38"/>
    </row>
    <row r="39" spans="1:26" x14ac:dyDescent="0.3">
      <c r="A39" s="114">
        <v>46194</v>
      </c>
      <c r="B39" s="115">
        <v>0.66666666666666663</v>
      </c>
      <c r="C39" s="116" t="s">
        <v>16</v>
      </c>
      <c r="D39" s="117">
        <v>3</v>
      </c>
      <c r="E39" s="117" t="s">
        <v>1</v>
      </c>
      <c r="F39" s="117">
        <v>1</v>
      </c>
      <c r="G39" s="116" t="s">
        <v>108</v>
      </c>
      <c r="K39" s="8" t="str">
        <f t="shared" si="3"/>
        <v>Bélgica</v>
      </c>
      <c r="L39" s="9">
        <f t="shared" si="5"/>
        <v>3</v>
      </c>
      <c r="M39" s="9">
        <f t="shared" si="4"/>
        <v>1</v>
      </c>
      <c r="O39" s="102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100"/>
      <c r="R39" s="52"/>
      <c r="S39" s="52"/>
      <c r="T39" s="52"/>
      <c r="U39" s="100"/>
      <c r="V39"/>
      <c r="W39"/>
      <c r="X39"/>
      <c r="Y39"/>
      <c r="Z39"/>
    </row>
    <row r="40" spans="1:26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3"/>
        <v>Uruguai</v>
      </c>
      <c r="L40" s="9">
        <f t="shared" si="5"/>
        <v>2</v>
      </c>
      <c r="M40" s="9">
        <f t="shared" si="4"/>
        <v>0</v>
      </c>
      <c r="O40" s="102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52"/>
      <c r="S40" s="52"/>
      <c r="T40" s="52"/>
      <c r="U40" s="100"/>
      <c r="V40"/>
      <c r="W40"/>
      <c r="X40"/>
      <c r="Y40"/>
      <c r="Z40"/>
    </row>
    <row r="41" spans="1:26" x14ac:dyDescent="0.3">
      <c r="A41" s="114">
        <v>46194</v>
      </c>
      <c r="B41" s="115">
        <v>0.91666666666666663</v>
      </c>
      <c r="C41" s="116" t="s">
        <v>125</v>
      </c>
      <c r="D41" s="117">
        <v>0</v>
      </c>
      <c r="E41" s="117" t="s">
        <v>1</v>
      </c>
      <c r="F41" s="117">
        <v>0</v>
      </c>
      <c r="G41" s="116" t="s">
        <v>124</v>
      </c>
      <c r="K41" s="8" t="str">
        <f t="shared" si="3"/>
        <v>EMPATE</v>
      </c>
      <c r="L41" s="9">
        <f t="shared" si="5"/>
        <v>0</v>
      </c>
      <c r="M41" s="9">
        <f t="shared" si="4"/>
        <v>0</v>
      </c>
      <c r="O41" s="102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100"/>
      <c r="R41" s="52"/>
      <c r="S41" s="52"/>
      <c r="T41" s="52"/>
      <c r="U41" s="100"/>
      <c r="V41"/>
      <c r="W41"/>
      <c r="X41"/>
      <c r="Y41"/>
      <c r="Z41"/>
    </row>
    <row r="42" spans="1:26" x14ac:dyDescent="0.3">
      <c r="A42" s="114">
        <v>46195</v>
      </c>
      <c r="B42" s="115">
        <v>0.58333333333333337</v>
      </c>
      <c r="C42" s="116" t="s">
        <v>9</v>
      </c>
      <c r="D42" s="117">
        <v>3</v>
      </c>
      <c r="E42" s="117" t="s">
        <v>1</v>
      </c>
      <c r="F42" s="117">
        <v>1</v>
      </c>
      <c r="G42" s="116" t="s">
        <v>130</v>
      </c>
      <c r="K42" s="8" t="str">
        <f t="shared" si="3"/>
        <v>Argentina</v>
      </c>
      <c r="L42" s="9">
        <f t="shared" si="5"/>
        <v>3</v>
      </c>
      <c r="M42" s="9">
        <f t="shared" si="4"/>
        <v>1</v>
      </c>
      <c r="O42" s="102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3</v>
      </c>
      <c r="Q42" s="100"/>
      <c r="R42" s="52"/>
      <c r="S42" s="52"/>
      <c r="T42" s="52"/>
      <c r="U42" s="100"/>
      <c r="V42"/>
      <c r="W42"/>
      <c r="X42"/>
      <c r="Y42"/>
      <c r="Z42"/>
    </row>
    <row r="43" spans="1:26" x14ac:dyDescent="0.3">
      <c r="A43" s="114">
        <v>46195</v>
      </c>
      <c r="B43" s="115">
        <v>0.75</v>
      </c>
      <c r="C43" s="116" t="s">
        <v>7</v>
      </c>
      <c r="D43" s="117">
        <v>3</v>
      </c>
      <c r="E43" s="117" t="s">
        <v>1</v>
      </c>
      <c r="F43" s="117">
        <v>0</v>
      </c>
      <c r="G43" s="116" t="s">
        <v>127</v>
      </c>
      <c r="K43" s="8" t="str">
        <f t="shared" si="3"/>
        <v>França</v>
      </c>
      <c r="L43" s="9">
        <f t="shared" si="5"/>
        <v>3</v>
      </c>
      <c r="M43" s="9">
        <f t="shared" si="4"/>
        <v>0</v>
      </c>
      <c r="O43" s="102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100"/>
      <c r="R43" s="52"/>
      <c r="S43" s="52"/>
      <c r="T43" s="52"/>
      <c r="U43" s="100"/>
      <c r="V43"/>
      <c r="W43"/>
      <c r="X43"/>
      <c r="Y43"/>
      <c r="Z43"/>
    </row>
    <row r="44" spans="1:26" x14ac:dyDescent="0.3">
      <c r="A44" s="114">
        <v>46195</v>
      </c>
      <c r="B44" s="115">
        <v>0.875</v>
      </c>
      <c r="C44" s="116" t="s">
        <v>128</v>
      </c>
      <c r="D44" s="117">
        <v>2</v>
      </c>
      <c r="E44" s="117" t="s">
        <v>1</v>
      </c>
      <c r="F44" s="117">
        <v>0</v>
      </c>
      <c r="G44" s="116" t="s">
        <v>20</v>
      </c>
      <c r="K44" s="8" t="str">
        <f t="shared" si="3"/>
        <v>Noruega</v>
      </c>
      <c r="L44" s="9">
        <f t="shared" si="5"/>
        <v>2</v>
      </c>
      <c r="M44" s="9">
        <f t="shared" si="4"/>
        <v>0</v>
      </c>
      <c r="O44" s="102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100"/>
      <c r="R44" s="52"/>
      <c r="S44" s="52"/>
      <c r="T44" s="52"/>
      <c r="U44" s="100"/>
      <c r="V44"/>
      <c r="W44"/>
      <c r="X44"/>
      <c r="Y44"/>
      <c r="Z44"/>
    </row>
    <row r="45" spans="1:26" x14ac:dyDescent="0.3">
      <c r="A45" s="114">
        <v>46196</v>
      </c>
      <c r="B45" s="115">
        <v>0</v>
      </c>
      <c r="C45" s="116" t="s">
        <v>131</v>
      </c>
      <c r="D45" s="117">
        <v>1</v>
      </c>
      <c r="E45" s="117" t="s">
        <v>1</v>
      </c>
      <c r="F45" s="117">
        <v>1</v>
      </c>
      <c r="G45" s="116" t="s">
        <v>129</v>
      </c>
      <c r="K45" s="8" t="str">
        <f t="shared" si="3"/>
        <v>EMPATE</v>
      </c>
      <c r="L45" s="9">
        <f t="shared" si="5"/>
        <v>1</v>
      </c>
      <c r="M45" s="9">
        <f t="shared" si="4"/>
        <v>1</v>
      </c>
      <c r="O45" s="102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100"/>
      <c r="R45" s="52"/>
      <c r="S45" s="52"/>
      <c r="T45" s="52"/>
      <c r="U45" s="100"/>
      <c r="V45"/>
      <c r="W45"/>
      <c r="X45"/>
      <c r="Y45"/>
      <c r="Z45"/>
    </row>
    <row r="46" spans="1:26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1</v>
      </c>
      <c r="G46" s="116" t="s">
        <v>133</v>
      </c>
      <c r="K46" s="8" t="str">
        <f t="shared" si="3"/>
        <v>Portugal</v>
      </c>
      <c r="L46" s="9">
        <f t="shared" si="5"/>
        <v>3</v>
      </c>
      <c r="M46" s="9">
        <f t="shared" si="4"/>
        <v>1</v>
      </c>
      <c r="O46" s="102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52"/>
      <c r="S46" s="52"/>
      <c r="T46" s="52"/>
      <c r="U46" s="100"/>
      <c r="V46"/>
      <c r="W46"/>
      <c r="X46"/>
      <c r="Y46"/>
      <c r="Z46"/>
    </row>
    <row r="47" spans="1:26" x14ac:dyDescent="0.3">
      <c r="A47" s="114">
        <v>46196</v>
      </c>
      <c r="B47" s="115">
        <v>0.70833333333333337</v>
      </c>
      <c r="C47" s="116" t="s">
        <v>18</v>
      </c>
      <c r="D47" s="117">
        <v>3</v>
      </c>
      <c r="E47" s="117" t="s">
        <v>1</v>
      </c>
      <c r="F47" s="117">
        <v>0</v>
      </c>
      <c r="G47" s="116" t="s">
        <v>111</v>
      </c>
      <c r="K47" s="8" t="str">
        <f t="shared" si="3"/>
        <v>Inglaterra</v>
      </c>
      <c r="L47" s="9">
        <f t="shared" si="5"/>
        <v>3</v>
      </c>
      <c r="M47" s="9">
        <f t="shared" si="4"/>
        <v>0</v>
      </c>
      <c r="O47" s="102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52"/>
      <c r="S47" s="52"/>
      <c r="T47" s="52"/>
      <c r="U47" s="100"/>
      <c r="V47"/>
      <c r="W47"/>
      <c r="X47"/>
      <c r="Y47"/>
      <c r="Z47"/>
    </row>
    <row r="48" spans="1:26" x14ac:dyDescent="0.3">
      <c r="A48" s="114">
        <v>46196</v>
      </c>
      <c r="B48" s="115">
        <v>0.83333333333333337</v>
      </c>
      <c r="C48" s="116" t="s">
        <v>135</v>
      </c>
      <c r="D48" s="117">
        <v>0</v>
      </c>
      <c r="E48" s="117" t="s">
        <v>1</v>
      </c>
      <c r="F48" s="117">
        <v>3</v>
      </c>
      <c r="G48" s="116" t="s">
        <v>10</v>
      </c>
      <c r="K48" s="8" t="str">
        <f t="shared" si="3"/>
        <v>Croácia</v>
      </c>
      <c r="L48" s="9">
        <f t="shared" si="5"/>
        <v>3</v>
      </c>
      <c r="M48" s="9">
        <f t="shared" si="4"/>
        <v>0</v>
      </c>
      <c r="O48" s="102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52"/>
      <c r="S48" s="52"/>
      <c r="T48" s="52"/>
      <c r="U48" s="100"/>
      <c r="V48"/>
      <c r="W48"/>
      <c r="X48"/>
      <c r="Y48"/>
      <c r="Z48"/>
    </row>
    <row r="49" spans="1:26" x14ac:dyDescent="0.3">
      <c r="A49" s="118">
        <v>46196</v>
      </c>
      <c r="B49" s="115">
        <v>0.95833333333333337</v>
      </c>
      <c r="C49" s="119" t="s">
        <v>134</v>
      </c>
      <c r="D49" s="120">
        <v>2</v>
      </c>
      <c r="E49" s="120" t="s">
        <v>1</v>
      </c>
      <c r="F49" s="120">
        <v>1</v>
      </c>
      <c r="G49" s="119" t="s">
        <v>132</v>
      </c>
      <c r="K49" s="8" t="str">
        <f t="shared" si="3"/>
        <v>Colômbia</v>
      </c>
      <c r="L49" s="9">
        <f t="shared" si="5"/>
        <v>2</v>
      </c>
      <c r="M49" s="9">
        <f t="shared" si="4"/>
        <v>1</v>
      </c>
      <c r="O49" s="102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52"/>
      <c r="S49" s="52"/>
      <c r="T49" s="52"/>
      <c r="U49" s="100"/>
      <c r="V49"/>
      <c r="W49"/>
      <c r="X49"/>
      <c r="Y49"/>
      <c r="Z49"/>
    </row>
    <row r="50" spans="1:26" x14ac:dyDescent="0.3">
      <c r="A50" s="67">
        <v>46197</v>
      </c>
      <c r="B50" s="65">
        <v>0.66666666666666663</v>
      </c>
      <c r="C50" s="68" t="s">
        <v>74</v>
      </c>
      <c r="D50" s="69">
        <v>2</v>
      </c>
      <c r="E50" s="69" t="s">
        <v>1</v>
      </c>
      <c r="F50" s="69">
        <v>3</v>
      </c>
      <c r="G50" s="68" t="s">
        <v>110</v>
      </c>
      <c r="K50" s="8" t="str">
        <f t="shared" si="3"/>
        <v>Canadá</v>
      </c>
      <c r="L50" s="9">
        <f t="shared" si="5"/>
        <v>3</v>
      </c>
      <c r="M50" s="9">
        <f t="shared" si="4"/>
        <v>2</v>
      </c>
      <c r="O50" s="102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  <c r="V50"/>
      <c r="W50"/>
      <c r="X50"/>
      <c r="Y50"/>
      <c r="Z50"/>
    </row>
    <row r="51" spans="1:26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2</v>
      </c>
      <c r="G51" s="68" t="s">
        <v>99</v>
      </c>
      <c r="K51" s="8" t="str">
        <f t="shared" si="3"/>
        <v>EMPATE</v>
      </c>
      <c r="L51" s="9">
        <f t="shared" si="5"/>
        <v>2</v>
      </c>
      <c r="M51" s="9">
        <f t="shared" si="4"/>
        <v>2</v>
      </c>
      <c r="O51" s="102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  <c r="V51"/>
      <c r="W51"/>
      <c r="X51"/>
      <c r="Y51"/>
      <c r="Z51"/>
    </row>
    <row r="52" spans="1:26" x14ac:dyDescent="0.3">
      <c r="A52" s="67">
        <v>46197</v>
      </c>
      <c r="B52" s="65">
        <v>0.79166666666666663</v>
      </c>
      <c r="C52" s="70" t="s">
        <v>4</v>
      </c>
      <c r="D52" s="69">
        <v>3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5"/>
        <v>3</v>
      </c>
      <c r="M52" s="9">
        <f t="shared" si="4"/>
        <v>0</v>
      </c>
      <c r="O52" s="102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  <c r="V52"/>
      <c r="W52"/>
      <c r="X52"/>
      <c r="Y52"/>
      <c r="Z52"/>
    </row>
    <row r="53" spans="1:26" x14ac:dyDescent="0.3">
      <c r="A53" s="67">
        <v>46197</v>
      </c>
      <c r="B53" s="65">
        <v>0.79166666666666663</v>
      </c>
      <c r="C53" s="70" t="s">
        <v>119</v>
      </c>
      <c r="D53" s="69">
        <v>1</v>
      </c>
      <c r="E53" s="69" t="s">
        <v>1</v>
      </c>
      <c r="F53" s="69">
        <v>3</v>
      </c>
      <c r="G53" s="70" t="s">
        <v>11</v>
      </c>
      <c r="K53" s="8" t="str">
        <f t="shared" si="3"/>
        <v>Brasil</v>
      </c>
      <c r="L53" s="9">
        <f t="shared" si="5"/>
        <v>3</v>
      </c>
      <c r="M53" s="9">
        <f t="shared" si="4"/>
        <v>1</v>
      </c>
      <c r="O53" s="102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  <c r="V53"/>
      <c r="W53"/>
      <c r="X53"/>
      <c r="Y53"/>
      <c r="Z53"/>
    </row>
    <row r="54" spans="1:26" x14ac:dyDescent="0.3">
      <c r="A54" s="64">
        <v>46197</v>
      </c>
      <c r="B54" s="65">
        <v>0.91666666666666663</v>
      </c>
      <c r="C54" s="66" t="s">
        <v>90</v>
      </c>
      <c r="D54" s="49">
        <v>1</v>
      </c>
      <c r="E54" s="49" t="s">
        <v>1</v>
      </c>
      <c r="F54" s="49">
        <v>3</v>
      </c>
      <c r="G54" s="66" t="s">
        <v>15</v>
      </c>
      <c r="K54" s="8" t="str">
        <f t="shared" si="3"/>
        <v>Coréia do Sul</v>
      </c>
      <c r="L54" s="9">
        <f t="shared" si="5"/>
        <v>3</v>
      </c>
      <c r="M54" s="9">
        <f t="shared" si="4"/>
        <v>1</v>
      </c>
      <c r="O54" s="102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  <c r="V54"/>
      <c r="W54"/>
      <c r="X54"/>
      <c r="Y54"/>
      <c r="Z54"/>
    </row>
    <row r="55" spans="1:26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3</v>
      </c>
      <c r="G55" s="66" t="s">
        <v>13</v>
      </c>
      <c r="K55" s="8" t="str">
        <f t="shared" si="3"/>
        <v>México</v>
      </c>
      <c r="L55" s="9">
        <f t="shared" si="5"/>
        <v>3</v>
      </c>
      <c r="M55" s="9">
        <f t="shared" si="4"/>
        <v>1</v>
      </c>
      <c r="O55" s="102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  <c r="V55"/>
      <c r="W55"/>
      <c r="X55"/>
      <c r="Y55"/>
      <c r="Z55"/>
    </row>
    <row r="56" spans="1:26" x14ac:dyDescent="0.3">
      <c r="A56" s="64">
        <v>46198</v>
      </c>
      <c r="B56" s="65">
        <v>0.70833333333333337</v>
      </c>
      <c r="C56" s="48" t="s">
        <v>107</v>
      </c>
      <c r="D56" s="49">
        <v>0</v>
      </c>
      <c r="E56" s="49" t="s">
        <v>1</v>
      </c>
      <c r="F56" s="49">
        <v>2</v>
      </c>
      <c r="G56" s="48" t="s">
        <v>12</v>
      </c>
      <c r="K56" s="8" t="str">
        <f t="shared" si="3"/>
        <v>Alemanha</v>
      </c>
      <c r="L56" s="9">
        <f t="shared" si="5"/>
        <v>2</v>
      </c>
      <c r="M56" s="9">
        <f t="shared" si="4"/>
        <v>0</v>
      </c>
      <c r="O56" s="102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  <c r="V56"/>
      <c r="W56"/>
      <c r="X56"/>
      <c r="Y56"/>
      <c r="Z56"/>
    </row>
    <row r="57" spans="1:26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2</v>
      </c>
      <c r="G57" s="48" t="s">
        <v>123</v>
      </c>
      <c r="K57" s="8" t="str">
        <f t="shared" si="3"/>
        <v>Costa do Marfim</v>
      </c>
      <c r="L57" s="9">
        <f t="shared" si="5"/>
        <v>2</v>
      </c>
      <c r="M57" s="9">
        <f t="shared" si="4"/>
        <v>0</v>
      </c>
      <c r="O57" s="102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  <c r="V57"/>
      <c r="W57"/>
      <c r="X57"/>
      <c r="Y57"/>
      <c r="Z57"/>
    </row>
    <row r="58" spans="1:26" x14ac:dyDescent="0.3">
      <c r="A58" s="64">
        <v>46198</v>
      </c>
      <c r="B58" s="65">
        <v>0.83333333333333337</v>
      </c>
      <c r="C58" s="48" t="s">
        <v>17</v>
      </c>
      <c r="D58" s="49">
        <v>1</v>
      </c>
      <c r="E58" s="49" t="s">
        <v>1</v>
      </c>
      <c r="F58" s="49">
        <v>3</v>
      </c>
      <c r="G58" s="48" t="s">
        <v>80</v>
      </c>
      <c r="K58" s="8" t="str">
        <f t="shared" si="3"/>
        <v>Holanda</v>
      </c>
      <c r="L58" s="9">
        <f t="shared" si="5"/>
        <v>3</v>
      </c>
      <c r="M58" s="9">
        <f t="shared" si="4"/>
        <v>1</v>
      </c>
      <c r="O58" s="102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  <c r="V58"/>
      <c r="W58"/>
      <c r="X58"/>
      <c r="Y58"/>
      <c r="Z58"/>
    </row>
    <row r="59" spans="1:26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0</v>
      </c>
      <c r="G59" s="48" t="s">
        <v>14</v>
      </c>
      <c r="K59" s="8" t="str">
        <f t="shared" si="3"/>
        <v>Japão</v>
      </c>
      <c r="L59" s="9">
        <f t="shared" si="5"/>
        <v>2</v>
      </c>
      <c r="M59" s="9">
        <f t="shared" si="4"/>
        <v>0</v>
      </c>
      <c r="O59" s="102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  <c r="V59"/>
      <c r="W59"/>
      <c r="X59"/>
      <c r="Y59"/>
      <c r="Z59"/>
    </row>
    <row r="60" spans="1:26" x14ac:dyDescent="0.3">
      <c r="A60" s="64">
        <v>46198</v>
      </c>
      <c r="B60" s="65">
        <v>0.95833333333333337</v>
      </c>
      <c r="C60" s="48" t="s">
        <v>121</v>
      </c>
      <c r="D60" s="49">
        <v>0</v>
      </c>
      <c r="E60" s="49" t="s">
        <v>1</v>
      </c>
      <c r="F60" s="49">
        <v>2</v>
      </c>
      <c r="G60" s="48" t="s">
        <v>109</v>
      </c>
      <c r="K60" s="8" t="str">
        <f t="shared" si="3"/>
        <v>Estados Unidos</v>
      </c>
      <c r="L60" s="9">
        <f t="shared" si="5"/>
        <v>2</v>
      </c>
      <c r="M60" s="9">
        <f t="shared" si="4"/>
        <v>0</v>
      </c>
      <c r="O60" s="102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  <c r="V60"/>
      <c r="W60"/>
      <c r="X60"/>
      <c r="Y60"/>
      <c r="Z60"/>
    </row>
    <row r="61" spans="1:26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0</v>
      </c>
      <c r="G61" s="48" t="s">
        <v>8</v>
      </c>
      <c r="K61" s="8" t="str">
        <f t="shared" si="3"/>
        <v>Paraguai</v>
      </c>
      <c r="L61" s="9">
        <f t="shared" si="5"/>
        <v>1</v>
      </c>
      <c r="M61" s="9">
        <f t="shared" si="4"/>
        <v>0</v>
      </c>
      <c r="O61" s="102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  <c r="V61"/>
      <c r="W61"/>
      <c r="X61"/>
      <c r="Y61"/>
      <c r="Z61"/>
    </row>
    <row r="62" spans="1:26" x14ac:dyDescent="0.3">
      <c r="A62" s="64">
        <v>46199</v>
      </c>
      <c r="B62" s="65">
        <v>0.66666666666666663</v>
      </c>
      <c r="C62" s="48" t="s">
        <v>20</v>
      </c>
      <c r="D62" s="49">
        <v>1</v>
      </c>
      <c r="E62" s="49" t="s">
        <v>1</v>
      </c>
      <c r="F62" s="49">
        <v>1</v>
      </c>
      <c r="G62" s="48" t="s">
        <v>127</v>
      </c>
      <c r="K62" s="8" t="str">
        <f t="shared" si="3"/>
        <v>EMPATE</v>
      </c>
      <c r="L62" s="9">
        <f t="shared" si="5"/>
        <v>1</v>
      </c>
      <c r="M62" s="9">
        <f t="shared" si="4"/>
        <v>1</v>
      </c>
      <c r="O62" s="102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  <c r="V62"/>
      <c r="W62"/>
      <c r="X62"/>
      <c r="Y62"/>
      <c r="Z62"/>
    </row>
    <row r="63" spans="1:26" x14ac:dyDescent="0.3">
      <c r="A63" s="64">
        <v>46199</v>
      </c>
      <c r="B63" s="65">
        <v>0.66666666666666663</v>
      </c>
      <c r="C63" s="48" t="s">
        <v>128</v>
      </c>
      <c r="D63" s="49">
        <v>2</v>
      </c>
      <c r="E63" s="49" t="s">
        <v>1</v>
      </c>
      <c r="F63" s="49">
        <v>4</v>
      </c>
      <c r="G63" s="48" t="s">
        <v>7</v>
      </c>
      <c r="K63" s="8" t="str">
        <f t="shared" si="3"/>
        <v>França</v>
      </c>
      <c r="L63" s="9">
        <f t="shared" si="5"/>
        <v>4</v>
      </c>
      <c r="M63" s="9">
        <f t="shared" si="4"/>
        <v>2</v>
      </c>
      <c r="O63" s="102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  <c r="V63"/>
      <c r="W63"/>
      <c r="X63"/>
      <c r="Y63"/>
      <c r="Z63"/>
    </row>
    <row r="64" spans="1:26" x14ac:dyDescent="0.3">
      <c r="A64" s="64">
        <v>46199</v>
      </c>
      <c r="B64" s="65">
        <v>0.875</v>
      </c>
      <c r="C64" s="48" t="s">
        <v>126</v>
      </c>
      <c r="D64" s="49">
        <v>2</v>
      </c>
      <c r="E64" s="49" t="s">
        <v>1</v>
      </c>
      <c r="F64" s="49">
        <v>0</v>
      </c>
      <c r="G64" s="48" t="s">
        <v>2</v>
      </c>
      <c r="K64" s="8" t="str">
        <f t="shared" si="3"/>
        <v>Cabo Verde</v>
      </c>
      <c r="L64" s="9">
        <f t="shared" si="5"/>
        <v>2</v>
      </c>
      <c r="M64" s="9">
        <f t="shared" si="4"/>
        <v>0</v>
      </c>
      <c r="O64" s="102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  <c r="V64"/>
      <c r="W64"/>
      <c r="X64"/>
      <c r="Y64"/>
      <c r="Z64"/>
    </row>
    <row r="65" spans="1:26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3</v>
      </c>
      <c r="G65" s="48" t="s">
        <v>6</v>
      </c>
      <c r="K65" s="8" t="str">
        <f t="shared" si="3"/>
        <v>Espanha</v>
      </c>
      <c r="L65" s="9">
        <f t="shared" si="5"/>
        <v>3</v>
      </c>
      <c r="M65" s="9">
        <f t="shared" si="4"/>
        <v>1</v>
      </c>
      <c r="O65" s="102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  <c r="V65"/>
      <c r="W65"/>
      <c r="X65"/>
      <c r="Y65"/>
      <c r="Z65"/>
    </row>
    <row r="66" spans="1:26" x14ac:dyDescent="0.3">
      <c r="A66" s="64">
        <v>46200</v>
      </c>
      <c r="B66" s="65">
        <v>0</v>
      </c>
      <c r="C66" s="48" t="s">
        <v>124</v>
      </c>
      <c r="D66" s="49">
        <v>2</v>
      </c>
      <c r="E66" s="49" t="s">
        <v>1</v>
      </c>
      <c r="F66" s="49">
        <v>0</v>
      </c>
      <c r="G66" s="48" t="s">
        <v>108</v>
      </c>
      <c r="K66" s="8" t="str">
        <f t="shared" si="3"/>
        <v>Egito</v>
      </c>
      <c r="L66" s="9">
        <f t="shared" si="5"/>
        <v>2</v>
      </c>
      <c r="M66" s="9">
        <f t="shared" si="4"/>
        <v>0</v>
      </c>
      <c r="O66" s="102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  <c r="V66"/>
      <c r="W66"/>
      <c r="X66"/>
      <c r="Y66"/>
      <c r="Z66"/>
    </row>
    <row r="67" spans="1:26" x14ac:dyDescent="0.3">
      <c r="A67" s="64">
        <v>46200</v>
      </c>
      <c r="B67" s="65">
        <v>0</v>
      </c>
      <c r="C67" s="48" t="s">
        <v>125</v>
      </c>
      <c r="D67" s="49">
        <v>2</v>
      </c>
      <c r="E67" s="49" t="s">
        <v>1</v>
      </c>
      <c r="F67" s="49">
        <v>0</v>
      </c>
      <c r="G67" s="48" t="s">
        <v>16</v>
      </c>
      <c r="K67" s="8" t="str">
        <f t="shared" si="3"/>
        <v>Nova Zelândia</v>
      </c>
      <c r="L67" s="9">
        <f t="shared" si="5"/>
        <v>2</v>
      </c>
      <c r="M67" s="9">
        <f t="shared" si="4"/>
        <v>0</v>
      </c>
      <c r="O67" s="102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  <c r="V67"/>
      <c r="W67"/>
      <c r="X67"/>
      <c r="Y67"/>
      <c r="Z67"/>
    </row>
    <row r="68" spans="1:26" x14ac:dyDescent="0.3">
      <c r="A68" s="64">
        <v>46200</v>
      </c>
      <c r="B68" s="65">
        <v>0.75</v>
      </c>
      <c r="C68" s="48" t="s">
        <v>10</v>
      </c>
      <c r="D68" s="49">
        <v>3</v>
      </c>
      <c r="E68" s="49" t="s">
        <v>1</v>
      </c>
      <c r="F68" s="49">
        <v>0</v>
      </c>
      <c r="G68" s="48" t="s">
        <v>111</v>
      </c>
      <c r="K68" s="8" t="str">
        <f t="shared" ref="K68:K71" si="7">IF(D68="","",IF(D68&gt;F68,C68,IF(F68&gt;D68,G68,"EMPATE")))</f>
        <v>Croácia</v>
      </c>
      <c r="L68" s="9">
        <f t="shared" si="5"/>
        <v>3</v>
      </c>
      <c r="M68" s="9">
        <f t="shared" ref="M68:M71" si="8">IF(D68="","",IF(D68&lt;F68,D68,IF(F68&lt;D68,F68,D68)))</f>
        <v>0</v>
      </c>
      <c r="O68" s="102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  <c r="V68"/>
      <c r="W68"/>
      <c r="X68"/>
      <c r="Y68"/>
      <c r="Z68"/>
    </row>
    <row r="69" spans="1:26" x14ac:dyDescent="0.3">
      <c r="A69" s="64">
        <v>46200</v>
      </c>
      <c r="B69" s="65">
        <v>0.75</v>
      </c>
      <c r="C69" s="48" t="s">
        <v>135</v>
      </c>
      <c r="D69" s="49">
        <v>1</v>
      </c>
      <c r="E69" s="49" t="s">
        <v>1</v>
      </c>
      <c r="F69" s="49">
        <v>4</v>
      </c>
      <c r="G69" s="48" t="s">
        <v>18</v>
      </c>
      <c r="K69" s="8" t="str">
        <f t="shared" si="7"/>
        <v>Inglaterra</v>
      </c>
      <c r="L69" s="9">
        <f t="shared" ref="L69:L72" si="9">IF(D69="","",IF(D69&gt;F69,D69,IF(F69&gt;D69,F69,D69)))</f>
        <v>4</v>
      </c>
      <c r="M69" s="9">
        <f t="shared" si="8"/>
        <v>1</v>
      </c>
      <c r="O69" s="102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  <c r="V69"/>
      <c r="W69"/>
      <c r="X69"/>
      <c r="Y69"/>
      <c r="Z69"/>
    </row>
    <row r="70" spans="1:26" x14ac:dyDescent="0.3">
      <c r="A70" s="64">
        <v>46200</v>
      </c>
      <c r="B70" s="65">
        <v>0.85416666666666663</v>
      </c>
      <c r="C70" s="48" t="s">
        <v>132</v>
      </c>
      <c r="D70" s="49">
        <v>0</v>
      </c>
      <c r="E70" s="49" t="s">
        <v>1</v>
      </c>
      <c r="F70" s="49">
        <v>0</v>
      </c>
      <c r="G70" s="48" t="s">
        <v>133</v>
      </c>
      <c r="K70" s="8" t="str">
        <f t="shared" si="7"/>
        <v>EMPATE</v>
      </c>
      <c r="L70" s="9">
        <f t="shared" si="9"/>
        <v>0</v>
      </c>
      <c r="M70" s="9">
        <f t="shared" si="8"/>
        <v>0</v>
      </c>
      <c r="O70" s="102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  <c r="V70"/>
      <c r="W70"/>
      <c r="X70"/>
      <c r="Y70"/>
      <c r="Z70"/>
    </row>
    <row r="71" spans="1:26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0</v>
      </c>
      <c r="G71" s="48" t="s">
        <v>5</v>
      </c>
      <c r="K71" s="8" t="str">
        <f t="shared" si="7"/>
        <v>Colômbia</v>
      </c>
      <c r="L71" s="9">
        <f t="shared" si="9"/>
        <v>1</v>
      </c>
      <c r="M71" s="9">
        <f t="shared" si="8"/>
        <v>0</v>
      </c>
      <c r="O71" s="102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  <c r="V71"/>
      <c r="W71"/>
      <c r="X71"/>
      <c r="Y71"/>
      <c r="Z71"/>
    </row>
    <row r="72" spans="1:26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3</v>
      </c>
      <c r="G72" s="48" t="s">
        <v>9</v>
      </c>
      <c r="K72" s="8" t="str">
        <f t="shared" ref="K72:K105" si="10">IF(D72="","",IF(D72&gt;F72,C72,IF(F72&gt;D72,G72,"EMPATE")))</f>
        <v>Argentina</v>
      </c>
      <c r="L72" s="9">
        <f t="shared" si="9"/>
        <v>3</v>
      </c>
      <c r="M72" s="9">
        <f t="shared" ref="M72:M105" si="11">IF(D72="","",IF(D72&lt;F72,D72,IF(F72&lt;D72,F72,D72)))</f>
        <v>0</v>
      </c>
      <c r="O72" s="102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  <c r="V72"/>
      <c r="W72"/>
      <c r="X72"/>
      <c r="Y72"/>
      <c r="Z72"/>
    </row>
    <row r="73" spans="1:26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1</v>
      </c>
      <c r="G73" s="48" t="s">
        <v>130</v>
      </c>
      <c r="K73" s="8" t="str">
        <f t="shared" si="10"/>
        <v>EMPATE</v>
      </c>
      <c r="L73" s="9">
        <f t="shared" ref="L73:L105" si="12">IF(D73="","",IF(D73&gt;F73,D73,IF(F73&gt;D73,F73,D73)))</f>
        <v>1</v>
      </c>
      <c r="M73" s="9">
        <f t="shared" si="11"/>
        <v>1</v>
      </c>
      <c r="O73" s="102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  <c r="V73"/>
      <c r="W73"/>
      <c r="X73"/>
      <c r="Y73"/>
      <c r="Z73"/>
    </row>
    <row r="74" spans="1:26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10"/>
        <v/>
      </c>
      <c r="L74" s="9" t="str">
        <f t="shared" si="12"/>
        <v/>
      </c>
      <c r="M74" s="9" t="str">
        <f t="shared" si="11"/>
        <v/>
      </c>
      <c r="O74" s="102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/>
      <c r="R74"/>
      <c r="S74"/>
      <c r="T74"/>
      <c r="U74"/>
      <c r="V74"/>
      <c r="W74"/>
      <c r="X74"/>
      <c r="Y74"/>
      <c r="Z74"/>
    </row>
    <row r="75" spans="1:26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0"/>
        <v/>
      </c>
      <c r="L75" s="9" t="str">
        <f t="shared" si="12"/>
        <v/>
      </c>
      <c r="M75" s="9" t="str">
        <f t="shared" si="11"/>
        <v/>
      </c>
      <c r="O75" s="102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6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0"/>
        <v/>
      </c>
      <c r="L76" s="9" t="str">
        <f t="shared" si="12"/>
        <v/>
      </c>
      <c r="M76" s="9" t="str">
        <f t="shared" si="11"/>
        <v/>
      </c>
      <c r="O76" s="102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6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0"/>
        <v/>
      </c>
      <c r="L77" s="9" t="str">
        <f t="shared" si="12"/>
        <v/>
      </c>
      <c r="M77" s="9" t="str">
        <f t="shared" si="11"/>
        <v/>
      </c>
      <c r="O77" s="102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6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0"/>
        <v/>
      </c>
      <c r="L78" s="9" t="str">
        <f t="shared" si="12"/>
        <v/>
      </c>
      <c r="M78" s="9" t="str">
        <f t="shared" si="11"/>
        <v/>
      </c>
      <c r="O78" s="102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6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0"/>
        <v/>
      </c>
      <c r="L79" s="9" t="str">
        <f t="shared" si="12"/>
        <v/>
      </c>
      <c r="M79" s="9" t="str">
        <f t="shared" si="11"/>
        <v/>
      </c>
      <c r="O79" s="102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6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0"/>
        <v/>
      </c>
      <c r="L80" s="9" t="str">
        <f t="shared" si="12"/>
        <v/>
      </c>
      <c r="M80" s="9" t="str">
        <f t="shared" si="11"/>
        <v/>
      </c>
      <c r="O80" s="102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0"/>
        <v/>
      </c>
      <c r="L81" s="9" t="str">
        <f t="shared" si="12"/>
        <v/>
      </c>
      <c r="M81" s="9" t="str">
        <f t="shared" si="11"/>
        <v/>
      </c>
      <c r="O81" s="102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0"/>
        <v/>
      </c>
      <c r="L82" s="9" t="str">
        <f t="shared" si="12"/>
        <v/>
      </c>
      <c r="M82" s="9" t="str">
        <f t="shared" si="11"/>
        <v/>
      </c>
      <c r="O82" s="102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0"/>
        <v/>
      </c>
      <c r="L83" s="9" t="str">
        <f t="shared" si="12"/>
        <v/>
      </c>
      <c r="M83" s="9" t="str">
        <f t="shared" si="11"/>
        <v/>
      </c>
      <c r="O83" s="102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0"/>
        <v/>
      </c>
      <c r="L84" s="9" t="str">
        <f t="shared" si="12"/>
        <v/>
      </c>
      <c r="M84" s="9" t="str">
        <f t="shared" si="11"/>
        <v/>
      </c>
      <c r="O84" s="102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0"/>
        <v/>
      </c>
      <c r="L85" s="9" t="str">
        <f t="shared" si="12"/>
        <v/>
      </c>
      <c r="M85" s="9" t="str">
        <f t="shared" si="11"/>
        <v/>
      </c>
      <c r="O85" s="102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0"/>
        <v/>
      </c>
      <c r="L86" s="9" t="str">
        <f t="shared" si="12"/>
        <v/>
      </c>
      <c r="M86" s="9" t="str">
        <f t="shared" si="11"/>
        <v/>
      </c>
      <c r="O86" s="102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0"/>
        <v/>
      </c>
      <c r="L87" s="9" t="str">
        <f t="shared" si="12"/>
        <v/>
      </c>
      <c r="M87" s="9" t="str">
        <f t="shared" si="11"/>
        <v/>
      </c>
      <c r="O87" s="102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0"/>
        <v/>
      </c>
      <c r="L88" s="9" t="str">
        <f t="shared" si="12"/>
        <v/>
      </c>
      <c r="M88" s="9" t="str">
        <f t="shared" si="11"/>
        <v/>
      </c>
      <c r="O88" s="102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0"/>
        <v/>
      </c>
      <c r="L89" s="9" t="str">
        <f t="shared" si="12"/>
        <v/>
      </c>
      <c r="M89" s="9" t="str">
        <f t="shared" si="11"/>
        <v/>
      </c>
      <c r="O89" s="102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0"/>
        <v/>
      </c>
      <c r="L90" s="9" t="str">
        <f t="shared" si="12"/>
        <v/>
      </c>
      <c r="M90" s="9" t="str">
        <f t="shared" si="11"/>
        <v/>
      </c>
      <c r="O90" s="102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0"/>
        <v/>
      </c>
      <c r="L91" s="9" t="str">
        <f t="shared" si="12"/>
        <v/>
      </c>
      <c r="M91" s="9" t="str">
        <f t="shared" si="11"/>
        <v/>
      </c>
      <c r="O91" s="102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0"/>
        <v/>
      </c>
      <c r="L92" s="9" t="str">
        <f t="shared" si="12"/>
        <v/>
      </c>
      <c r="M92" s="9" t="str">
        <f t="shared" si="11"/>
        <v/>
      </c>
      <c r="O92" s="102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0"/>
        <v/>
      </c>
      <c r="L93" s="9" t="str">
        <f t="shared" si="12"/>
        <v/>
      </c>
      <c r="M93" s="9" t="str">
        <f t="shared" si="11"/>
        <v/>
      </c>
      <c r="O93" s="102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0"/>
        <v/>
      </c>
      <c r="L94" s="9" t="str">
        <f t="shared" si="12"/>
        <v/>
      </c>
      <c r="M94" s="9" t="str">
        <f t="shared" si="11"/>
        <v/>
      </c>
      <c r="O94" s="102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0"/>
        <v/>
      </c>
      <c r="L95" s="9" t="str">
        <f t="shared" si="12"/>
        <v/>
      </c>
      <c r="M95" s="9" t="str">
        <f t="shared" si="11"/>
        <v/>
      </c>
      <c r="O95" s="102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0"/>
        <v/>
      </c>
      <c r="L96" s="9" t="str">
        <f t="shared" si="12"/>
        <v/>
      </c>
      <c r="M96" s="9" t="str">
        <f t="shared" si="11"/>
        <v/>
      </c>
      <c r="O96" s="102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0"/>
        <v/>
      </c>
      <c r="L97" s="9" t="str">
        <f t="shared" si="12"/>
        <v/>
      </c>
      <c r="M97" s="9" t="str">
        <f t="shared" si="11"/>
        <v/>
      </c>
      <c r="O97" s="102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0"/>
        <v/>
      </c>
      <c r="L98" s="9" t="str">
        <f t="shared" si="12"/>
        <v/>
      </c>
      <c r="M98" s="9" t="str">
        <f t="shared" si="11"/>
        <v/>
      </c>
      <c r="O98" s="102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0"/>
        <v/>
      </c>
      <c r="L99" s="9" t="str">
        <f t="shared" si="12"/>
        <v/>
      </c>
      <c r="M99" s="9" t="str">
        <f t="shared" si="11"/>
        <v/>
      </c>
      <c r="O99" s="102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0"/>
        <v/>
      </c>
      <c r="L100" s="9" t="str">
        <f t="shared" si="12"/>
        <v/>
      </c>
      <c r="M100" s="9" t="str">
        <f t="shared" si="11"/>
        <v/>
      </c>
      <c r="O100" s="102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0"/>
        <v/>
      </c>
      <c r="L101" s="9" t="str">
        <f t="shared" si="12"/>
        <v/>
      </c>
      <c r="M101" s="9" t="str">
        <f t="shared" si="11"/>
        <v/>
      </c>
      <c r="O101" s="102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0"/>
        <v/>
      </c>
      <c r="L102" s="9" t="str">
        <f t="shared" si="12"/>
        <v/>
      </c>
      <c r="M102" s="9" t="str">
        <f t="shared" si="11"/>
        <v/>
      </c>
      <c r="O102" s="102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0"/>
        <v/>
      </c>
      <c r="L103" s="9" t="str">
        <f t="shared" si="12"/>
        <v/>
      </c>
      <c r="M103" s="9" t="str">
        <f t="shared" si="11"/>
        <v/>
      </c>
      <c r="O103" s="102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0"/>
        <v/>
      </c>
      <c r="L104" s="9" t="str">
        <f t="shared" si="12"/>
        <v/>
      </c>
      <c r="M104" s="9" t="str">
        <f t="shared" si="11"/>
        <v/>
      </c>
      <c r="O104" s="102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0"/>
        <v/>
      </c>
      <c r="L105" s="9" t="str">
        <f t="shared" si="12"/>
        <v/>
      </c>
      <c r="M105" s="9" t="str">
        <f t="shared" si="11"/>
        <v/>
      </c>
      <c r="O105" s="102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54" t="s">
        <v>92</v>
      </c>
      <c r="B1" s="154"/>
      <c r="C1" s="154"/>
      <c r="D1" s="154"/>
      <c r="E1" s="154"/>
      <c r="F1" s="154"/>
      <c r="G1" s="154"/>
      <c r="H1" s="157" t="s">
        <v>102</v>
      </c>
      <c r="I1" s="157"/>
      <c r="J1" s="157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0</v>
      </c>
      <c r="G2" s="66" t="s">
        <v>90</v>
      </c>
      <c r="H2" s="157"/>
      <c r="I2" s="157"/>
      <c r="J2" s="157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</row>
    <row r="3" spans="1:15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1</v>
      </c>
      <c r="G3" s="66" t="s">
        <v>116</v>
      </c>
      <c r="H3" s="157"/>
      <c r="I3" s="157"/>
      <c r="J3" s="157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64">
        <v>46185</v>
      </c>
      <c r="B4" s="65">
        <v>0.66666666666666663</v>
      </c>
      <c r="C4" s="66" t="s">
        <v>110</v>
      </c>
      <c r="D4" s="49">
        <v>2</v>
      </c>
      <c r="E4" s="49" t="s">
        <v>1</v>
      </c>
      <c r="F4" s="49">
        <v>1</v>
      </c>
      <c r="G4" s="66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64">
        <v>46185</v>
      </c>
      <c r="B5" s="65">
        <v>0.91666666666666663</v>
      </c>
      <c r="C5" s="66" t="s">
        <v>109</v>
      </c>
      <c r="D5" s="49">
        <v>1</v>
      </c>
      <c r="E5" s="49" t="s">
        <v>1</v>
      </c>
      <c r="F5" s="49">
        <v>1</v>
      </c>
      <c r="G5" s="66" t="s">
        <v>120</v>
      </c>
      <c r="I5" s="18"/>
      <c r="K5" s="8" t="str">
        <f t="shared" si="3"/>
        <v>EMPATE</v>
      </c>
      <c r="L5" s="9">
        <f t="shared" si="4"/>
        <v>1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</row>
    <row r="6" spans="1:15" ht="15.75" customHeight="1" x14ac:dyDescent="0.3">
      <c r="A6" s="64">
        <v>46186</v>
      </c>
      <c r="B6" s="65">
        <v>0.66666666666666663</v>
      </c>
      <c r="C6" s="66" t="s">
        <v>99</v>
      </c>
      <c r="D6" s="49">
        <v>2</v>
      </c>
      <c r="E6" s="49" t="s">
        <v>1</v>
      </c>
      <c r="F6" s="49">
        <v>0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Catar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3</v>
      </c>
      <c r="J7" s="15">
        <f>H7*I7</f>
        <v>27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64">
        <v>46186</v>
      </c>
      <c r="B8" s="65">
        <v>0.91666666666666663</v>
      </c>
      <c r="C8" s="66" t="s">
        <v>118</v>
      </c>
      <c r="D8" s="49">
        <v>3</v>
      </c>
      <c r="E8" s="49" t="s">
        <v>1</v>
      </c>
      <c r="F8" s="49">
        <v>0</v>
      </c>
      <c r="G8" s="66" t="s">
        <v>119</v>
      </c>
      <c r="H8" s="15">
        <v>6</v>
      </c>
      <c r="I8" s="15">
        <f>COUNTIF($O$2:$O$65,6)</f>
        <v>0</v>
      </c>
      <c r="J8" s="15">
        <f t="shared" ref="J8:J11" si="6">H8*I8</f>
        <v>0</v>
      </c>
      <c r="K8" s="8" t="str">
        <f t="shared" si="3"/>
        <v>Haiti</v>
      </c>
      <c r="L8" s="9">
        <f t="shared" si="4"/>
        <v>3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</row>
    <row r="9" spans="1:15" ht="15.75" customHeight="1" x14ac:dyDescent="0.3">
      <c r="A9" s="64">
        <v>46187</v>
      </c>
      <c r="B9" s="65">
        <v>4.1666666666666664E-2</v>
      </c>
      <c r="C9" s="66" t="s">
        <v>8</v>
      </c>
      <c r="D9" s="49">
        <v>1</v>
      </c>
      <c r="E9" s="49" t="s">
        <v>1</v>
      </c>
      <c r="F9" s="49">
        <v>1</v>
      </c>
      <c r="G9" s="66" t="s">
        <v>121</v>
      </c>
      <c r="H9" s="15">
        <v>4</v>
      </c>
      <c r="I9" s="15">
        <f>COUNTIF($O$2:$O$65,4)</f>
        <v>7</v>
      </c>
      <c r="J9" s="15">
        <f t="shared" si="6"/>
        <v>28</v>
      </c>
      <c r="K9" s="8" t="str">
        <f t="shared" si="3"/>
        <v>EMPATE</v>
      </c>
      <c r="L9" s="9">
        <f t="shared" si="4"/>
        <v>1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64">
        <v>46187</v>
      </c>
      <c r="B10" s="65">
        <v>0.58333333333333337</v>
      </c>
      <c r="C10" s="66" t="s">
        <v>12</v>
      </c>
      <c r="D10" s="49">
        <v>4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10</v>
      </c>
      <c r="J10" s="15">
        <f t="shared" si="6"/>
        <v>30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24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1</v>
      </c>
      <c r="G12" s="66" t="s">
        <v>107</v>
      </c>
      <c r="H12" s="15"/>
      <c r="I12" s="16" t="s">
        <v>48</v>
      </c>
      <c r="J12" s="17">
        <f>SUM(J7:J11)</f>
        <v>85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0</v>
      </c>
      <c r="G13" s="66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3">
      <c r="A14" s="64">
        <v>46188</v>
      </c>
      <c r="B14" s="65">
        <v>0.54166666666666663</v>
      </c>
      <c r="C14" s="66" t="s">
        <v>6</v>
      </c>
      <c r="D14" s="49">
        <v>4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64">
        <v>46188</v>
      </c>
      <c r="B15" s="65">
        <v>0.66666666666666663</v>
      </c>
      <c r="C15" s="66" t="s">
        <v>16</v>
      </c>
      <c r="D15" s="49">
        <v>2</v>
      </c>
      <c r="E15" s="49" t="s">
        <v>1</v>
      </c>
      <c r="F15" s="49">
        <v>0</v>
      </c>
      <c r="G15" s="66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64">
        <v>46188</v>
      </c>
      <c r="B16" s="65">
        <v>0.79166666666666663</v>
      </c>
      <c r="C16" s="66" t="s">
        <v>2</v>
      </c>
      <c r="D16" s="49">
        <v>2</v>
      </c>
      <c r="E16" s="49" t="s">
        <v>1</v>
      </c>
      <c r="F16" s="49">
        <v>0</v>
      </c>
      <c r="G16" s="66" t="s">
        <v>3</v>
      </c>
      <c r="K16" s="8" t="str">
        <f t="shared" si="3"/>
        <v>Arábia Saudita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64">
        <v>46188</v>
      </c>
      <c r="B17" s="65">
        <v>0.91666666666666663</v>
      </c>
      <c r="C17" s="66" t="s">
        <v>108</v>
      </c>
      <c r="D17" s="49">
        <v>2</v>
      </c>
      <c r="E17" s="49" t="s">
        <v>1</v>
      </c>
      <c r="F17" s="49">
        <v>1</v>
      </c>
      <c r="G17" s="66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3">
      <c r="A18" s="64">
        <v>46189</v>
      </c>
      <c r="B18" s="65">
        <v>0.66666666666666663</v>
      </c>
      <c r="C18" s="66" t="s">
        <v>7</v>
      </c>
      <c r="D18" s="49">
        <v>2</v>
      </c>
      <c r="E18" s="49" t="s">
        <v>1</v>
      </c>
      <c r="F18" s="49">
        <v>1</v>
      </c>
      <c r="G18" s="66" t="s">
        <v>20</v>
      </c>
      <c r="K18" s="8" t="str">
        <f t="shared" si="3"/>
        <v>França</v>
      </c>
      <c r="L18" s="9">
        <f t="shared" si="4"/>
        <v>2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1" x14ac:dyDescent="0.3">
      <c r="A19" s="64">
        <v>46189</v>
      </c>
      <c r="B19" s="65">
        <v>0.79166666666666663</v>
      </c>
      <c r="C19" s="66" t="s">
        <v>127</v>
      </c>
      <c r="D19" s="49">
        <v>3</v>
      </c>
      <c r="E19" s="49" t="s">
        <v>1</v>
      </c>
      <c r="F19" s="49">
        <v>0</v>
      </c>
      <c r="G19" s="66" t="s">
        <v>128</v>
      </c>
      <c r="K19" s="8" t="str">
        <f t="shared" si="3"/>
        <v>Iraque</v>
      </c>
      <c r="L19" s="9">
        <f t="shared" si="4"/>
        <v>3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</row>
    <row r="20" spans="1:21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0</v>
      </c>
      <c r="G20" s="66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1" x14ac:dyDescent="0.3">
      <c r="A21" s="64">
        <v>46190</v>
      </c>
      <c r="B21" s="65">
        <v>4.1666666666666664E-2</v>
      </c>
      <c r="C21" s="66" t="s">
        <v>130</v>
      </c>
      <c r="D21" s="49">
        <v>2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64">
        <v>46190</v>
      </c>
      <c r="B22" s="65">
        <v>0.58333333333333337</v>
      </c>
      <c r="C22" s="66" t="s">
        <v>5</v>
      </c>
      <c r="D22" s="49">
        <v>3</v>
      </c>
      <c r="E22" s="49" t="s">
        <v>1</v>
      </c>
      <c r="F22" s="49">
        <v>0</v>
      </c>
      <c r="G22" s="66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64">
        <v>46190</v>
      </c>
      <c r="B23" s="65">
        <v>0.70833333333333337</v>
      </c>
      <c r="C23" s="66" t="s">
        <v>18</v>
      </c>
      <c r="D23" s="49">
        <v>2</v>
      </c>
      <c r="E23" s="49" t="s">
        <v>1</v>
      </c>
      <c r="F23" s="49">
        <v>1</v>
      </c>
      <c r="G23" s="66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</row>
    <row r="24" spans="1:21" x14ac:dyDescent="0.3">
      <c r="A24" s="64">
        <v>46190</v>
      </c>
      <c r="B24" s="65">
        <v>0.83333333333333337</v>
      </c>
      <c r="C24" s="66" t="s">
        <v>111</v>
      </c>
      <c r="D24" s="49">
        <v>2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64">
        <v>46190</v>
      </c>
      <c r="B25" s="65">
        <v>0.95833333333333337</v>
      </c>
      <c r="C25" s="66" t="s">
        <v>133</v>
      </c>
      <c r="D25" s="49">
        <v>2</v>
      </c>
      <c r="E25" s="49" t="s">
        <v>1</v>
      </c>
      <c r="F25" s="49">
        <v>0</v>
      </c>
      <c r="G25" s="66" t="s">
        <v>134</v>
      </c>
      <c r="K25" s="8" t="str">
        <f t="shared" si="3"/>
        <v>Uzbequistão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0</v>
      </c>
    </row>
    <row r="26" spans="1:21" x14ac:dyDescent="0.3">
      <c r="A26" s="114">
        <v>46191</v>
      </c>
      <c r="B26" s="115">
        <v>0.54166666666666663</v>
      </c>
      <c r="C26" s="116" t="s">
        <v>116</v>
      </c>
      <c r="D26" s="117">
        <v>3</v>
      </c>
      <c r="E26" s="117" t="s">
        <v>1</v>
      </c>
      <c r="F26" s="117">
        <v>0</v>
      </c>
      <c r="G26" s="116" t="s">
        <v>90</v>
      </c>
      <c r="K26" s="8" t="str">
        <f t="shared" si="3"/>
        <v>República Tcheca</v>
      </c>
      <c r="L26" s="9">
        <f t="shared" si="4"/>
        <v>3</v>
      </c>
      <c r="M26" s="9">
        <f t="shared" si="5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100"/>
      <c r="R26" s="52"/>
      <c r="S26" s="52"/>
      <c r="T26" s="52"/>
      <c r="U26" s="100"/>
    </row>
    <row r="27" spans="1:21" x14ac:dyDescent="0.3">
      <c r="A27" s="114">
        <v>46191</v>
      </c>
      <c r="B27" s="115">
        <v>0.66666666666666663</v>
      </c>
      <c r="C27" s="116" t="s">
        <v>74</v>
      </c>
      <c r="D27" s="117">
        <v>2</v>
      </c>
      <c r="E27" s="117" t="s">
        <v>1</v>
      </c>
      <c r="F27" s="117">
        <v>2</v>
      </c>
      <c r="G27" s="116" t="s">
        <v>117</v>
      </c>
      <c r="K27" s="8" t="str">
        <f t="shared" si="3"/>
        <v>EMPATE</v>
      </c>
      <c r="L27" s="9">
        <f t="shared" si="4"/>
        <v>2</v>
      </c>
      <c r="M27" s="9">
        <f t="shared" si="5"/>
        <v>2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100"/>
      <c r="R27" s="52"/>
      <c r="S27" s="52"/>
      <c r="T27" s="52"/>
      <c r="U27" s="100"/>
    </row>
    <row r="28" spans="1:21" x14ac:dyDescent="0.3">
      <c r="A28" s="114">
        <v>46191</v>
      </c>
      <c r="B28" s="115">
        <v>0.79166666666666663</v>
      </c>
      <c r="C28" s="116" t="s">
        <v>110</v>
      </c>
      <c r="D28" s="117">
        <v>3</v>
      </c>
      <c r="E28" s="117" t="s">
        <v>1</v>
      </c>
      <c r="F28" s="117">
        <v>1</v>
      </c>
      <c r="G28" s="116" t="s">
        <v>99</v>
      </c>
      <c r="K28" s="8" t="str">
        <f t="shared" si="3"/>
        <v>Canadá</v>
      </c>
      <c r="L28" s="9">
        <f t="shared" si="4"/>
        <v>3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100"/>
      <c r="R28" s="52"/>
      <c r="S28" s="52"/>
      <c r="T28" s="52"/>
      <c r="U28" s="100"/>
    </row>
    <row r="29" spans="1:21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3</v>
      </c>
      <c r="G29" s="116" t="s">
        <v>15</v>
      </c>
      <c r="K29" s="8" t="str">
        <f t="shared" si="3"/>
        <v>Coréia do Sul</v>
      </c>
      <c r="L29" s="9">
        <f t="shared" si="4"/>
        <v>3</v>
      </c>
      <c r="M29" s="9">
        <f t="shared" si="5"/>
        <v>2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100"/>
      <c r="R29" s="52"/>
      <c r="S29" s="52"/>
      <c r="T29" s="52"/>
      <c r="U29" s="100"/>
    </row>
    <row r="30" spans="1:21" x14ac:dyDescent="0.3">
      <c r="A30" s="114">
        <v>46192</v>
      </c>
      <c r="B30" s="115">
        <v>0.66666666666666663</v>
      </c>
      <c r="C30" s="116" t="s">
        <v>109</v>
      </c>
      <c r="D30" s="117">
        <v>4</v>
      </c>
      <c r="E30" s="117" t="s">
        <v>1</v>
      </c>
      <c r="F30" s="117">
        <v>2</v>
      </c>
      <c r="G30" s="116" t="s">
        <v>8</v>
      </c>
      <c r="K30" s="8" t="str">
        <f t="shared" si="3"/>
        <v>Estados Unidos</v>
      </c>
      <c r="L30" s="9">
        <f t="shared" si="4"/>
        <v>4</v>
      </c>
      <c r="M30" s="9">
        <f t="shared" si="5"/>
        <v>2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3</v>
      </c>
      <c r="Q30" s="100"/>
      <c r="R30" s="52"/>
      <c r="S30" s="52"/>
      <c r="T30" s="52"/>
      <c r="U30" s="100"/>
    </row>
    <row r="31" spans="1:21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3</v>
      </c>
      <c r="G31" s="116" t="s">
        <v>4</v>
      </c>
      <c r="K31" s="8" t="str">
        <f t="shared" si="3"/>
        <v>Marrocos</v>
      </c>
      <c r="L31" s="9">
        <f t="shared" si="4"/>
        <v>3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100"/>
      <c r="R31" s="52"/>
      <c r="S31" s="52"/>
      <c r="T31" s="52"/>
      <c r="U31" s="100"/>
    </row>
    <row r="32" spans="1:21" x14ac:dyDescent="0.3">
      <c r="A32" s="114">
        <v>46192</v>
      </c>
      <c r="B32" s="115">
        <v>0.89583333333333337</v>
      </c>
      <c r="C32" s="116" t="s">
        <v>11</v>
      </c>
      <c r="D32" s="117">
        <v>4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4"/>
        <v>4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100"/>
      <c r="R32" s="52"/>
      <c r="S32" s="52"/>
      <c r="T32" s="52"/>
      <c r="U32" s="100"/>
    </row>
    <row r="33" spans="1:21" x14ac:dyDescent="0.3">
      <c r="A33" s="114">
        <v>46193</v>
      </c>
      <c r="B33" s="115">
        <v>4.1666666666666664E-2</v>
      </c>
      <c r="C33" s="116" t="s">
        <v>121</v>
      </c>
      <c r="D33" s="117">
        <v>0</v>
      </c>
      <c r="E33" s="117" t="s">
        <v>1</v>
      </c>
      <c r="F33" s="117">
        <v>3</v>
      </c>
      <c r="G33" s="116" t="s">
        <v>120</v>
      </c>
      <c r="K33" s="8" t="str">
        <f t="shared" si="3"/>
        <v>Paraguai</v>
      </c>
      <c r="L33" s="9">
        <f t="shared" si="4"/>
        <v>3</v>
      </c>
      <c r="M33" s="9">
        <f t="shared" si="5"/>
        <v>0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4</v>
      </c>
      <c r="Q33" s="100"/>
      <c r="R33" s="52"/>
      <c r="S33" s="52"/>
      <c r="T33" s="52"/>
      <c r="U33" s="100"/>
    </row>
    <row r="34" spans="1:21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1</v>
      </c>
      <c r="G34" s="116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100"/>
      <c r="R34" s="52"/>
      <c r="S34" s="52"/>
      <c r="T34" s="52"/>
      <c r="U34" s="100"/>
    </row>
    <row r="35" spans="1:21" x14ac:dyDescent="0.3">
      <c r="A35" s="114">
        <v>46193</v>
      </c>
      <c r="B35" s="115">
        <v>0.70833333333333337</v>
      </c>
      <c r="C35" s="116" t="s">
        <v>12</v>
      </c>
      <c r="D35" s="117">
        <v>5</v>
      </c>
      <c r="E35" s="117" t="s">
        <v>1</v>
      </c>
      <c r="F35" s="117">
        <v>1</v>
      </c>
      <c r="G35" s="116" t="s">
        <v>123</v>
      </c>
      <c r="K35" s="8" t="str">
        <f t="shared" si="3"/>
        <v>Alemanha</v>
      </c>
      <c r="L35" s="9">
        <f t="shared" si="4"/>
        <v>5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100"/>
      <c r="R35" s="52"/>
      <c r="S35" s="52"/>
      <c r="T35" s="52"/>
      <c r="U35" s="100"/>
    </row>
    <row r="36" spans="1:21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0</v>
      </c>
      <c r="G36" s="116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52"/>
      <c r="S36" s="52"/>
      <c r="T36" s="52"/>
      <c r="U36" s="100"/>
    </row>
    <row r="37" spans="1:21" x14ac:dyDescent="0.3">
      <c r="A37" s="114">
        <v>46194</v>
      </c>
      <c r="B37" s="115">
        <v>4.1666666666666664E-2</v>
      </c>
      <c r="C37" s="116" t="s">
        <v>17</v>
      </c>
      <c r="D37" s="117">
        <v>1</v>
      </c>
      <c r="E37" s="117" t="s">
        <v>1</v>
      </c>
      <c r="F37" s="117">
        <v>3</v>
      </c>
      <c r="G37" s="116" t="s">
        <v>19</v>
      </c>
      <c r="K37" s="8" t="str">
        <f t="shared" si="3"/>
        <v>Japão</v>
      </c>
      <c r="L37" s="9">
        <f t="shared" si="4"/>
        <v>3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100"/>
      <c r="R37" s="52"/>
      <c r="S37" s="52"/>
      <c r="T37" s="52"/>
      <c r="U37" s="100"/>
    </row>
    <row r="38" spans="1:21" x14ac:dyDescent="0.3">
      <c r="A38" s="114">
        <v>46194</v>
      </c>
      <c r="B38" s="115">
        <v>0.54166666666666663</v>
      </c>
      <c r="C38" s="116" t="s">
        <v>6</v>
      </c>
      <c r="D38" s="117">
        <v>3</v>
      </c>
      <c r="E38" s="117" t="s">
        <v>1</v>
      </c>
      <c r="F38" s="117">
        <v>0</v>
      </c>
      <c r="G38" s="116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100"/>
      <c r="R38" s="52"/>
      <c r="S38" s="52"/>
      <c r="T38" s="52"/>
      <c r="U38" s="100"/>
    </row>
    <row r="39" spans="1:21" x14ac:dyDescent="0.3">
      <c r="A39" s="114">
        <v>46194</v>
      </c>
      <c r="B39" s="115">
        <v>0.66666666666666663</v>
      </c>
      <c r="C39" s="116" t="s">
        <v>16</v>
      </c>
      <c r="D39" s="117">
        <v>2</v>
      </c>
      <c r="E39" s="117" t="s">
        <v>1</v>
      </c>
      <c r="F39" s="117">
        <v>1</v>
      </c>
      <c r="G39" s="116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100"/>
      <c r="R39" s="52"/>
      <c r="S39" s="52"/>
      <c r="T39" s="52"/>
      <c r="U39" s="100"/>
    </row>
    <row r="40" spans="1:21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3</v>
      </c>
      <c r="G40" s="116" t="s">
        <v>126</v>
      </c>
      <c r="K40" s="8" t="str">
        <f t="shared" si="3"/>
        <v>Cabo Verde</v>
      </c>
      <c r="L40" s="9">
        <f t="shared" si="4"/>
        <v>3</v>
      </c>
      <c r="M40" s="9">
        <f t="shared" si="5"/>
        <v>2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52"/>
      <c r="S40" s="52"/>
      <c r="T40" s="52"/>
      <c r="U40" s="100"/>
    </row>
    <row r="41" spans="1:21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100"/>
      <c r="R41" s="52"/>
      <c r="S41" s="52"/>
      <c r="T41" s="52"/>
      <c r="U41" s="100"/>
    </row>
    <row r="42" spans="1:21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0</v>
      </c>
      <c r="G42" s="116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0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9</v>
      </c>
      <c r="Q42" s="100"/>
      <c r="R42" s="52"/>
      <c r="S42" s="52"/>
      <c r="T42" s="52"/>
      <c r="U42" s="100"/>
    </row>
    <row r="43" spans="1:21" x14ac:dyDescent="0.3">
      <c r="A43" s="114">
        <v>46195</v>
      </c>
      <c r="B43" s="115">
        <v>0.75</v>
      </c>
      <c r="C43" s="116" t="s">
        <v>7</v>
      </c>
      <c r="D43" s="117">
        <v>5</v>
      </c>
      <c r="E43" s="117" t="s">
        <v>1</v>
      </c>
      <c r="F43" s="117">
        <v>0</v>
      </c>
      <c r="G43" s="116" t="s">
        <v>127</v>
      </c>
      <c r="K43" s="8" t="str">
        <f t="shared" si="3"/>
        <v>França</v>
      </c>
      <c r="L43" s="9">
        <f t="shared" si="4"/>
        <v>5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Q43" s="100"/>
      <c r="R43" s="52"/>
      <c r="S43" s="52"/>
      <c r="T43" s="52"/>
      <c r="U43" s="100"/>
    </row>
    <row r="44" spans="1:21" x14ac:dyDescent="0.3">
      <c r="A44" s="114">
        <v>46195</v>
      </c>
      <c r="B44" s="115">
        <v>0.875</v>
      </c>
      <c r="C44" s="116" t="s">
        <v>128</v>
      </c>
      <c r="D44" s="117">
        <v>4</v>
      </c>
      <c r="E44" s="117" t="s">
        <v>1</v>
      </c>
      <c r="F44" s="117">
        <v>1</v>
      </c>
      <c r="G44" s="116" t="s">
        <v>20</v>
      </c>
      <c r="K44" s="8" t="str">
        <f t="shared" si="3"/>
        <v>Noruega</v>
      </c>
      <c r="L44" s="9">
        <f t="shared" si="4"/>
        <v>4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100"/>
      <c r="R44" s="52"/>
      <c r="S44" s="52"/>
      <c r="T44" s="52"/>
      <c r="U44" s="100"/>
    </row>
    <row r="45" spans="1:21" x14ac:dyDescent="0.3">
      <c r="A45" s="114">
        <v>46196</v>
      </c>
      <c r="B45" s="115">
        <v>0</v>
      </c>
      <c r="C45" s="116" t="s">
        <v>131</v>
      </c>
      <c r="D45" s="117">
        <v>2</v>
      </c>
      <c r="E45" s="117" t="s">
        <v>1</v>
      </c>
      <c r="F45" s="117">
        <v>0</v>
      </c>
      <c r="G45" s="116" t="s">
        <v>129</v>
      </c>
      <c r="K45" s="8" t="str">
        <f t="shared" si="3"/>
        <v>Jordânia</v>
      </c>
      <c r="L45" s="9">
        <f t="shared" si="4"/>
        <v>2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100"/>
      <c r="R45" s="52"/>
      <c r="S45" s="52"/>
      <c r="T45" s="52"/>
      <c r="U45" s="100"/>
    </row>
    <row r="46" spans="1:21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0</v>
      </c>
      <c r="G46" s="116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52"/>
      <c r="S46" s="52"/>
      <c r="T46" s="52"/>
      <c r="U46" s="100"/>
    </row>
    <row r="47" spans="1:21" x14ac:dyDescent="0.3">
      <c r="A47" s="114">
        <v>46196</v>
      </c>
      <c r="B47" s="115">
        <v>0.70833333333333337</v>
      </c>
      <c r="C47" s="116" t="s">
        <v>18</v>
      </c>
      <c r="D47" s="117">
        <v>4</v>
      </c>
      <c r="E47" s="117" t="s">
        <v>1</v>
      </c>
      <c r="F47" s="117">
        <v>0</v>
      </c>
      <c r="G47" s="116" t="s">
        <v>111</v>
      </c>
      <c r="K47" s="8" t="str">
        <f t="shared" si="3"/>
        <v>Inglaterra</v>
      </c>
      <c r="L47" s="9">
        <f t="shared" si="4"/>
        <v>4</v>
      </c>
      <c r="M47" s="9">
        <f t="shared" si="5"/>
        <v>0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52"/>
      <c r="S47" s="52"/>
      <c r="T47" s="52"/>
      <c r="U47" s="100"/>
    </row>
    <row r="48" spans="1:21" x14ac:dyDescent="0.3">
      <c r="A48" s="114">
        <v>46196</v>
      </c>
      <c r="B48" s="115">
        <v>0.83333333333333337</v>
      </c>
      <c r="C48" s="116" t="s">
        <v>135</v>
      </c>
      <c r="D48" s="117">
        <v>0</v>
      </c>
      <c r="E48" s="117" t="s">
        <v>1</v>
      </c>
      <c r="F48" s="117">
        <v>3</v>
      </c>
      <c r="G48" s="116" t="s">
        <v>10</v>
      </c>
      <c r="K48" s="8" t="str">
        <f t="shared" si="3"/>
        <v>Croácia</v>
      </c>
      <c r="L48" s="9">
        <f t="shared" si="4"/>
        <v>3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52"/>
      <c r="S48" s="52"/>
      <c r="T48" s="52"/>
      <c r="U48" s="100"/>
    </row>
    <row r="49" spans="1:21" x14ac:dyDescent="0.3">
      <c r="A49" s="118">
        <v>46196</v>
      </c>
      <c r="B49" s="115">
        <v>0.95833333333333337</v>
      </c>
      <c r="C49" s="119" t="s">
        <v>134</v>
      </c>
      <c r="D49" s="120">
        <v>3</v>
      </c>
      <c r="E49" s="120" t="s">
        <v>1</v>
      </c>
      <c r="F49" s="120">
        <v>0</v>
      </c>
      <c r="G49" s="119" t="s">
        <v>132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52"/>
      <c r="S49" s="52"/>
      <c r="T49" s="52"/>
      <c r="U49" s="100"/>
    </row>
    <row r="50" spans="1:21" x14ac:dyDescent="0.3">
      <c r="A50" s="67">
        <v>46197</v>
      </c>
      <c r="B50" s="65">
        <v>0.66666666666666663</v>
      </c>
      <c r="C50" s="68" t="s">
        <v>74</v>
      </c>
      <c r="D50" s="69">
        <v>1</v>
      </c>
      <c r="E50" s="69" t="s">
        <v>1</v>
      </c>
      <c r="F50" s="69">
        <v>3</v>
      </c>
      <c r="G50" s="68" t="s">
        <v>110</v>
      </c>
      <c r="K50" s="8" t="str">
        <f t="shared" si="3"/>
        <v>Canadá</v>
      </c>
      <c r="L50" s="9">
        <f t="shared" si="4"/>
        <v>3</v>
      </c>
      <c r="M50" s="9">
        <f t="shared" si="5"/>
        <v>1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1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1</v>
      </c>
      <c r="G51" s="68" t="s">
        <v>99</v>
      </c>
      <c r="K51" s="8" t="str">
        <f t="shared" si="3"/>
        <v>Bósnia</v>
      </c>
      <c r="L51" s="9">
        <f t="shared" si="4"/>
        <v>2</v>
      </c>
      <c r="M51" s="9">
        <f t="shared" si="5"/>
        <v>1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1" x14ac:dyDescent="0.3">
      <c r="A52" s="67">
        <v>46197</v>
      </c>
      <c r="B52" s="65">
        <v>0.79166666666666663</v>
      </c>
      <c r="C52" s="70" t="s">
        <v>4</v>
      </c>
      <c r="D52" s="69">
        <v>3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3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1" x14ac:dyDescent="0.3">
      <c r="A53" s="67">
        <v>46197</v>
      </c>
      <c r="B53" s="65">
        <v>0.79166666666666663</v>
      </c>
      <c r="C53" s="70" t="s">
        <v>119</v>
      </c>
      <c r="D53" s="69">
        <v>0</v>
      </c>
      <c r="E53" s="69" t="s">
        <v>1</v>
      </c>
      <c r="F53" s="69">
        <v>3</v>
      </c>
      <c r="G53" s="70" t="s">
        <v>11</v>
      </c>
      <c r="K53" s="8" t="str">
        <f t="shared" si="3"/>
        <v>Brasil</v>
      </c>
      <c r="L53" s="9">
        <f t="shared" si="4"/>
        <v>3</v>
      </c>
      <c r="M53" s="9">
        <f t="shared" si="5"/>
        <v>0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1" x14ac:dyDescent="0.3">
      <c r="A54" s="64">
        <v>46197</v>
      </c>
      <c r="B54" s="65">
        <v>0.91666666666666663</v>
      </c>
      <c r="C54" s="66" t="s">
        <v>90</v>
      </c>
      <c r="D54" s="49">
        <v>0</v>
      </c>
      <c r="E54" s="49" t="s">
        <v>1</v>
      </c>
      <c r="F54" s="49">
        <v>4</v>
      </c>
      <c r="G54" s="66" t="s">
        <v>15</v>
      </c>
      <c r="K54" s="8" t="str">
        <f t="shared" si="3"/>
        <v>Coréia do Sul</v>
      </c>
      <c r="L54" s="9">
        <f t="shared" si="4"/>
        <v>4</v>
      </c>
      <c r="M54" s="9">
        <f t="shared" si="5"/>
        <v>0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1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2</v>
      </c>
      <c r="G55" s="66" t="s">
        <v>13</v>
      </c>
      <c r="K55" s="8" t="str">
        <f t="shared" si="3"/>
        <v>México</v>
      </c>
      <c r="L55" s="9">
        <f t="shared" si="4"/>
        <v>2</v>
      </c>
      <c r="M55" s="9">
        <f t="shared" si="5"/>
        <v>1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1" x14ac:dyDescent="0.3">
      <c r="A56" s="64">
        <v>46198</v>
      </c>
      <c r="B56" s="65">
        <v>0.70833333333333337</v>
      </c>
      <c r="C56" s="48" t="s">
        <v>107</v>
      </c>
      <c r="D56" s="49">
        <v>0</v>
      </c>
      <c r="E56" s="49" t="s">
        <v>1</v>
      </c>
      <c r="F56" s="49">
        <v>2</v>
      </c>
      <c r="G56" s="48" t="s">
        <v>12</v>
      </c>
      <c r="K56" s="8" t="str">
        <f t="shared" si="3"/>
        <v>Alemanha</v>
      </c>
      <c r="L56" s="9">
        <f t="shared" si="4"/>
        <v>2</v>
      </c>
      <c r="M56" s="9">
        <f t="shared" si="5"/>
        <v>0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1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2</v>
      </c>
      <c r="G57" s="48" t="s">
        <v>123</v>
      </c>
      <c r="K57" s="8" t="str">
        <f t="shared" si="3"/>
        <v>Costa do Marfim</v>
      </c>
      <c r="L57" s="9">
        <f t="shared" si="4"/>
        <v>2</v>
      </c>
      <c r="M57" s="9">
        <f t="shared" si="5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1" x14ac:dyDescent="0.3">
      <c r="A58" s="64">
        <v>46198</v>
      </c>
      <c r="B58" s="65">
        <v>0.83333333333333337</v>
      </c>
      <c r="C58" s="48" t="s">
        <v>17</v>
      </c>
      <c r="D58" s="49">
        <v>1</v>
      </c>
      <c r="E58" s="49" t="s">
        <v>1</v>
      </c>
      <c r="F58" s="49">
        <v>3</v>
      </c>
      <c r="G58" s="48" t="s">
        <v>80</v>
      </c>
      <c r="K58" s="8" t="str">
        <f t="shared" si="3"/>
        <v>Holanda</v>
      </c>
      <c r="L58" s="9">
        <f t="shared" si="4"/>
        <v>3</v>
      </c>
      <c r="M58" s="9">
        <f t="shared" si="5"/>
        <v>1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1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2</v>
      </c>
      <c r="G59" s="48" t="s">
        <v>14</v>
      </c>
      <c r="K59" s="8" t="str">
        <f t="shared" si="3"/>
        <v>EMPATE</v>
      </c>
      <c r="L59" s="9">
        <f t="shared" si="4"/>
        <v>2</v>
      </c>
      <c r="M59" s="9">
        <f t="shared" si="5"/>
        <v>2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1" x14ac:dyDescent="0.3">
      <c r="A60" s="64">
        <v>46198</v>
      </c>
      <c r="B60" s="65">
        <v>0.95833333333333337</v>
      </c>
      <c r="C60" s="48" t="s">
        <v>121</v>
      </c>
      <c r="D60" s="49">
        <v>0</v>
      </c>
      <c r="E60" s="49" t="s">
        <v>1</v>
      </c>
      <c r="F60" s="49">
        <v>3</v>
      </c>
      <c r="G60" s="48" t="s">
        <v>109</v>
      </c>
      <c r="K60" s="8" t="str">
        <f t="shared" si="3"/>
        <v>Estados Unidos</v>
      </c>
      <c r="L60" s="9">
        <f t="shared" si="4"/>
        <v>3</v>
      </c>
      <c r="M60" s="9">
        <f t="shared" si="5"/>
        <v>0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1" x14ac:dyDescent="0.3">
      <c r="A61" s="64">
        <v>46198</v>
      </c>
      <c r="B61" s="65">
        <v>0.95833333333333337</v>
      </c>
      <c r="C61" s="48" t="s">
        <v>120</v>
      </c>
      <c r="D61" s="49">
        <v>2</v>
      </c>
      <c r="E61" s="49" t="s">
        <v>1</v>
      </c>
      <c r="F61" s="49">
        <v>1</v>
      </c>
      <c r="G61" s="48" t="s">
        <v>8</v>
      </c>
      <c r="K61" s="8" t="str">
        <f t="shared" si="3"/>
        <v>Paraguai</v>
      </c>
      <c r="L61" s="9">
        <f t="shared" si="4"/>
        <v>2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1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0</v>
      </c>
      <c r="G62" s="48" t="s">
        <v>127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1" x14ac:dyDescent="0.3">
      <c r="A63" s="64">
        <v>46199</v>
      </c>
      <c r="B63" s="65">
        <v>0.66666666666666663</v>
      </c>
      <c r="C63" s="48" t="s">
        <v>128</v>
      </c>
      <c r="D63" s="49">
        <v>3</v>
      </c>
      <c r="E63" s="49" t="s">
        <v>1</v>
      </c>
      <c r="F63" s="49">
        <v>3</v>
      </c>
      <c r="G63" s="48" t="s">
        <v>7</v>
      </c>
      <c r="K63" s="8" t="str">
        <f t="shared" si="3"/>
        <v>EMPATE</v>
      </c>
      <c r="L63" s="9">
        <f t="shared" si="4"/>
        <v>3</v>
      </c>
      <c r="M63" s="9">
        <f t="shared" si="5"/>
        <v>3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1" x14ac:dyDescent="0.3">
      <c r="A64" s="64">
        <v>46199</v>
      </c>
      <c r="B64" s="65">
        <v>0.875</v>
      </c>
      <c r="C64" s="48" t="s">
        <v>126</v>
      </c>
      <c r="D64" s="49">
        <v>2</v>
      </c>
      <c r="E64" s="49" t="s">
        <v>1</v>
      </c>
      <c r="F64" s="49">
        <v>1</v>
      </c>
      <c r="G64" s="48" t="s">
        <v>2</v>
      </c>
      <c r="K64" s="8" t="str">
        <f t="shared" si="3"/>
        <v>Cabo Verde</v>
      </c>
      <c r="L64" s="9">
        <f t="shared" si="4"/>
        <v>2</v>
      </c>
      <c r="M64" s="9">
        <f t="shared" si="5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2</v>
      </c>
      <c r="E65" s="49" t="s">
        <v>1</v>
      </c>
      <c r="F65" s="49">
        <v>3</v>
      </c>
      <c r="G65" s="48" t="s">
        <v>6</v>
      </c>
      <c r="K65" s="8" t="str">
        <f t="shared" si="3"/>
        <v>Espanha</v>
      </c>
      <c r="L65" s="9">
        <f t="shared" si="4"/>
        <v>3</v>
      </c>
      <c r="M65" s="9">
        <f t="shared" si="5"/>
        <v>2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3</v>
      </c>
      <c r="E66" s="49" t="s">
        <v>1</v>
      </c>
      <c r="F66" s="49">
        <v>0</v>
      </c>
      <c r="G66" s="48" t="s">
        <v>108</v>
      </c>
      <c r="K66" s="8" t="str">
        <f t="shared" si="3"/>
        <v>Egito</v>
      </c>
      <c r="L66" s="9">
        <f t="shared" si="4"/>
        <v>3</v>
      </c>
      <c r="M66" s="9">
        <f t="shared" si="5"/>
        <v>0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0</v>
      </c>
      <c r="E67" s="49" t="s">
        <v>1</v>
      </c>
      <c r="F67" s="49">
        <v>1</v>
      </c>
      <c r="G67" s="48" t="s">
        <v>16</v>
      </c>
      <c r="K67" s="8" t="str">
        <f t="shared" si="3"/>
        <v>Bélgica</v>
      </c>
      <c r="L67" s="9">
        <f t="shared" si="4"/>
        <v>1</v>
      </c>
      <c r="M67" s="9">
        <f t="shared" si="5"/>
        <v>0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3</v>
      </c>
      <c r="E68" s="49" t="s">
        <v>1</v>
      </c>
      <c r="F68" s="49">
        <v>1</v>
      </c>
      <c r="G68" s="48" t="s">
        <v>111</v>
      </c>
      <c r="K68" s="8" t="str">
        <f t="shared" ref="K68:K69" si="7">IF(D68="","",IF(D68&gt;F68,C68,IF(F68&gt;D68,G68,"EMPATE")))</f>
        <v>Croácia</v>
      </c>
      <c r="L68" s="9">
        <f t="shared" ref="L68:L69" si="8">IF(D68="","",IF(D68&gt;F68,D68,IF(F68&gt;D68,F68,D68)))</f>
        <v>3</v>
      </c>
      <c r="M68" s="9">
        <f t="shared" ref="M68:M69" si="9">IF(D68="","",IF(D68&lt;F68,D68,IF(F68&lt;D68,F68,D68)))</f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3</v>
      </c>
      <c r="G69" s="48" t="s">
        <v>18</v>
      </c>
      <c r="K69" s="8" t="str">
        <f t="shared" si="7"/>
        <v>Inglaterra</v>
      </c>
      <c r="L69" s="9">
        <f t="shared" si="8"/>
        <v>3</v>
      </c>
      <c r="M69" s="9">
        <f t="shared" si="9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0</v>
      </c>
      <c r="G70" s="48" t="s">
        <v>133</v>
      </c>
      <c r="K70" s="8" t="str">
        <f t="shared" ref="K70:K105" si="10">IF(D70="","",IF(D70&gt;F70,C70,IF(F70&gt;D70,G70,"EMPATE")))</f>
        <v>RD Congo</v>
      </c>
      <c r="L70" s="9">
        <f t="shared" ref="L70:L105" si="11">IF(D70="","",IF(D70&gt;F70,D70,IF(F70&gt;D70,F70,D70)))</f>
        <v>1</v>
      </c>
      <c r="M70" s="9">
        <f t="shared" ref="M70:M105" si="12">IF(D70="","",IF(D70&lt;F70,D70,IF(F70&lt;D70,F70,D70)))</f>
        <v>0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1</v>
      </c>
      <c r="G71" s="48" t="s">
        <v>5</v>
      </c>
      <c r="K71" s="8" t="str">
        <f t="shared" si="10"/>
        <v>EMPATE</v>
      </c>
      <c r="L71" s="9">
        <f t="shared" si="11"/>
        <v>1</v>
      </c>
      <c r="M71" s="9">
        <f t="shared" si="12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1</v>
      </c>
      <c r="E72" s="49" t="s">
        <v>1</v>
      </c>
      <c r="F72" s="49">
        <v>2</v>
      </c>
      <c r="G72" s="48" t="s">
        <v>9</v>
      </c>
      <c r="K72" s="8" t="str">
        <f t="shared" si="10"/>
        <v>Argentina</v>
      </c>
      <c r="L72" s="9">
        <f t="shared" si="11"/>
        <v>2</v>
      </c>
      <c r="M72" s="9">
        <f t="shared" si="12"/>
        <v>1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2</v>
      </c>
      <c r="E73" s="49" t="s">
        <v>1</v>
      </c>
      <c r="F73" s="49">
        <v>2</v>
      </c>
      <c r="G73" s="48" t="s">
        <v>130</v>
      </c>
      <c r="K73" s="8" t="str">
        <f t="shared" si="10"/>
        <v>EMPATE</v>
      </c>
      <c r="L73" s="9">
        <f t="shared" si="11"/>
        <v>2</v>
      </c>
      <c r="M73" s="9">
        <f t="shared" si="12"/>
        <v>2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84A7-B4DA-43C8-A13A-652151D026DA}">
  <dimension ref="A1:U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.109375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21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136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21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0</v>
      </c>
      <c r="G2" s="66" t="s">
        <v>90</v>
      </c>
      <c r="H2" s="155"/>
      <c r="I2" s="149"/>
      <c r="J2" s="156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Q2" s="100"/>
      <c r="R2" s="52"/>
      <c r="S2" s="52"/>
      <c r="T2" s="52"/>
      <c r="U2" s="100"/>
    </row>
    <row r="3" spans="1:21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0</v>
      </c>
      <c r="G3" s="66" t="s">
        <v>116</v>
      </c>
      <c r="H3" s="155"/>
      <c r="I3" s="149"/>
      <c r="J3" s="156"/>
      <c r="K3" s="8" t="str">
        <f t="shared" si="0"/>
        <v>Coréia do Sul</v>
      </c>
      <c r="L3" s="9">
        <f t="shared" si="1"/>
        <v>1</v>
      </c>
      <c r="M3" s="9">
        <f t="shared" si="2"/>
        <v>0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3</v>
      </c>
      <c r="Q3" s="100"/>
      <c r="R3" s="52"/>
      <c r="S3" s="52"/>
      <c r="T3" s="52"/>
      <c r="U3" s="100"/>
    </row>
    <row r="4" spans="1:21" ht="15.75" customHeight="1" x14ac:dyDescent="0.3">
      <c r="A4" s="64">
        <v>46185</v>
      </c>
      <c r="B4" s="65">
        <v>0.66666666666666663</v>
      </c>
      <c r="C4" s="66" t="s">
        <v>110</v>
      </c>
      <c r="D4" s="49">
        <v>2</v>
      </c>
      <c r="E4" s="49" t="s">
        <v>1</v>
      </c>
      <c r="F4" s="49">
        <v>1</v>
      </c>
      <c r="G4" s="66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100"/>
      <c r="R4" s="52"/>
      <c r="S4" s="52"/>
      <c r="T4" s="52"/>
      <c r="U4" s="100"/>
    </row>
    <row r="5" spans="1:21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1</v>
      </c>
      <c r="G5" s="66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  <c r="Q5" s="100"/>
      <c r="R5" s="52"/>
      <c r="S5" s="52"/>
      <c r="T5" s="52"/>
      <c r="U5" s="100"/>
    </row>
    <row r="6" spans="1:21" ht="15.75" customHeight="1" x14ac:dyDescent="0.3">
      <c r="A6" s="64">
        <v>46186</v>
      </c>
      <c r="B6" s="65">
        <v>0.66666666666666663</v>
      </c>
      <c r="C6" s="66" t="s">
        <v>99</v>
      </c>
      <c r="D6" s="49">
        <v>0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100"/>
      <c r="R6" s="52"/>
      <c r="S6" s="52"/>
      <c r="T6" s="52"/>
      <c r="U6" s="100"/>
    </row>
    <row r="7" spans="1:21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4</v>
      </c>
      <c r="J7" s="15">
        <f>H7*I7</f>
        <v>36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100"/>
      <c r="R7" s="52"/>
      <c r="S7" s="52"/>
      <c r="T7" s="52"/>
      <c r="U7" s="100"/>
    </row>
    <row r="8" spans="1:21" ht="15.75" customHeight="1" x14ac:dyDescent="0.3">
      <c r="A8" s="64">
        <v>46186</v>
      </c>
      <c r="B8" s="65">
        <v>0.91666666666666663</v>
      </c>
      <c r="C8" s="66" t="s">
        <v>118</v>
      </c>
      <c r="D8" s="49">
        <v>0</v>
      </c>
      <c r="E8" s="49" t="s">
        <v>1</v>
      </c>
      <c r="F8" s="49">
        <v>3</v>
      </c>
      <c r="G8" s="66" t="s">
        <v>119</v>
      </c>
      <c r="H8" s="15">
        <v>6</v>
      </c>
      <c r="I8" s="15">
        <f>COUNTIF($O$2:$O$65,6)</f>
        <v>2</v>
      </c>
      <c r="J8" s="15">
        <f t="shared" ref="J8:J11" si="6">H8*I8</f>
        <v>12</v>
      </c>
      <c r="K8" s="8" t="str">
        <f t="shared" si="3"/>
        <v>Escócia</v>
      </c>
      <c r="L8" s="9">
        <f t="shared" si="4"/>
        <v>3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  <c r="Q8" s="100"/>
      <c r="R8" s="52"/>
      <c r="S8" s="52"/>
      <c r="T8" s="52"/>
      <c r="U8" s="100"/>
    </row>
    <row r="9" spans="1:21" ht="15.75" customHeight="1" x14ac:dyDescent="0.3">
      <c r="A9" s="64">
        <v>46187</v>
      </c>
      <c r="B9" s="65">
        <v>4.1666666666666664E-2</v>
      </c>
      <c r="C9" s="66" t="s">
        <v>8</v>
      </c>
      <c r="D9" s="49">
        <v>1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5</v>
      </c>
      <c r="J9" s="15">
        <f t="shared" si="6"/>
        <v>20</v>
      </c>
      <c r="K9" s="8" t="str">
        <f t="shared" si="3"/>
        <v>Turquia</v>
      </c>
      <c r="L9" s="9">
        <f t="shared" si="4"/>
        <v>2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Q9" s="100"/>
      <c r="R9" s="52"/>
      <c r="S9" s="52"/>
      <c r="T9" s="52"/>
      <c r="U9" s="100"/>
    </row>
    <row r="10" spans="1:21" x14ac:dyDescent="0.3">
      <c r="A10" s="64">
        <v>46187</v>
      </c>
      <c r="B10" s="65">
        <v>0.58333333333333337</v>
      </c>
      <c r="C10" s="66" t="s">
        <v>12</v>
      </c>
      <c r="D10" s="49">
        <v>4</v>
      </c>
      <c r="E10" s="108" t="s">
        <v>1</v>
      </c>
      <c r="F10" s="49">
        <v>0</v>
      </c>
      <c r="G10" s="66" t="s">
        <v>122</v>
      </c>
      <c r="H10" s="15">
        <v>3</v>
      </c>
      <c r="I10" s="15">
        <f>COUNTIF($O$2:$O$65,3)</f>
        <v>11</v>
      </c>
      <c r="J10" s="15">
        <f t="shared" si="6"/>
        <v>33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100"/>
      <c r="R10" s="52"/>
      <c r="S10" s="126"/>
      <c r="T10" s="52"/>
      <c r="U10" s="100"/>
    </row>
    <row r="11" spans="1:21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22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100"/>
      <c r="R11" s="52"/>
      <c r="S11" s="52"/>
      <c r="T11" s="52"/>
      <c r="U11" s="100"/>
    </row>
    <row r="12" spans="1:21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1</v>
      </c>
      <c r="G12" s="66" t="s">
        <v>107</v>
      </c>
      <c r="H12" s="15"/>
      <c r="I12" s="16" t="s">
        <v>48</v>
      </c>
      <c r="J12" s="17">
        <f>SUM(J7:J11)</f>
        <v>101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100"/>
      <c r="R12" s="52"/>
      <c r="S12" s="52"/>
      <c r="T12" s="52"/>
      <c r="U12" s="100"/>
    </row>
    <row r="13" spans="1:21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0</v>
      </c>
      <c r="G13" s="66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  <c r="Q13" s="100"/>
      <c r="R13" s="52"/>
      <c r="S13" s="52"/>
      <c r="T13" s="52"/>
      <c r="U13" s="100"/>
    </row>
    <row r="14" spans="1:21" x14ac:dyDescent="0.3">
      <c r="A14" s="64">
        <v>46188</v>
      </c>
      <c r="B14" s="65">
        <v>0.54166666666666663</v>
      </c>
      <c r="C14" s="66" t="s">
        <v>6</v>
      </c>
      <c r="D14" s="49">
        <v>3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3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100"/>
      <c r="R14" s="52"/>
      <c r="S14" s="52"/>
      <c r="T14" s="52"/>
      <c r="U14" s="100"/>
    </row>
    <row r="15" spans="1:21" x14ac:dyDescent="0.3">
      <c r="A15" s="64">
        <v>46188</v>
      </c>
      <c r="B15" s="65">
        <v>0.66666666666666663</v>
      </c>
      <c r="C15" s="66" t="s">
        <v>16</v>
      </c>
      <c r="D15" s="49">
        <v>2</v>
      </c>
      <c r="E15" s="49" t="s">
        <v>1</v>
      </c>
      <c r="F15" s="49">
        <v>0</v>
      </c>
      <c r="G15" s="66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100"/>
      <c r="R15" s="52"/>
      <c r="S15" s="52"/>
      <c r="T15" s="52"/>
      <c r="U15" s="100"/>
    </row>
    <row r="16" spans="1:21" x14ac:dyDescent="0.3">
      <c r="A16" s="64">
        <v>46188</v>
      </c>
      <c r="B16" s="65">
        <v>0.79166666666666663</v>
      </c>
      <c r="C16" s="66" t="s">
        <v>2</v>
      </c>
      <c r="D16" s="49">
        <v>0</v>
      </c>
      <c r="E16" s="49" t="s">
        <v>1</v>
      </c>
      <c r="F16" s="49">
        <v>3</v>
      </c>
      <c r="G16" s="66" t="s">
        <v>3</v>
      </c>
      <c r="K16" s="8" t="str">
        <f t="shared" si="3"/>
        <v>Uruguai</v>
      </c>
      <c r="L16" s="9">
        <f t="shared" si="4"/>
        <v>3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100"/>
      <c r="R16" s="52"/>
      <c r="S16" s="52"/>
      <c r="T16" s="52"/>
      <c r="U16" s="100"/>
    </row>
    <row r="17" spans="1:21" x14ac:dyDescent="0.3">
      <c r="A17" s="64">
        <v>46188</v>
      </c>
      <c r="B17" s="65">
        <v>0.91666666666666663</v>
      </c>
      <c r="C17" s="66" t="s">
        <v>108</v>
      </c>
      <c r="D17" s="49">
        <v>2</v>
      </c>
      <c r="E17" s="49" t="s">
        <v>1</v>
      </c>
      <c r="F17" s="49">
        <v>1</v>
      </c>
      <c r="G17" s="66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Q17" s="100"/>
      <c r="R17" s="52"/>
      <c r="S17" s="52"/>
      <c r="T17" s="52"/>
      <c r="U17" s="100"/>
    </row>
    <row r="18" spans="1:21" x14ac:dyDescent="0.3">
      <c r="A18" s="64">
        <v>46189</v>
      </c>
      <c r="B18" s="65">
        <v>0.66666666666666663</v>
      </c>
      <c r="C18" s="66" t="s">
        <v>7</v>
      </c>
      <c r="D18" s="49">
        <v>2</v>
      </c>
      <c r="E18" s="49" t="s">
        <v>1</v>
      </c>
      <c r="F18" s="49">
        <v>0</v>
      </c>
      <c r="G18" s="66" t="s">
        <v>20</v>
      </c>
      <c r="K18" s="8" t="str">
        <f t="shared" si="3"/>
        <v>França</v>
      </c>
      <c r="L18" s="9">
        <f t="shared" si="4"/>
        <v>2</v>
      </c>
      <c r="M18" s="9">
        <f t="shared" si="5"/>
        <v>0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3</v>
      </c>
      <c r="Q18" s="100"/>
      <c r="R18" s="52"/>
      <c r="S18" s="52"/>
      <c r="T18" s="52"/>
      <c r="U18" s="100"/>
    </row>
    <row r="19" spans="1:21" x14ac:dyDescent="0.3">
      <c r="A19" s="64">
        <v>46189</v>
      </c>
      <c r="B19" s="65">
        <v>0.79166666666666663</v>
      </c>
      <c r="C19" s="66" t="s">
        <v>127</v>
      </c>
      <c r="D19" s="49">
        <v>1</v>
      </c>
      <c r="E19" s="49" t="s">
        <v>1</v>
      </c>
      <c r="F19" s="49">
        <v>2</v>
      </c>
      <c r="G19" s="66" t="s">
        <v>128</v>
      </c>
      <c r="K19" s="8" t="str">
        <f t="shared" si="3"/>
        <v>Noruega</v>
      </c>
      <c r="L19" s="9">
        <f t="shared" si="4"/>
        <v>2</v>
      </c>
      <c r="M19" s="9">
        <f t="shared" si="5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4</v>
      </c>
      <c r="Q19" s="100"/>
      <c r="R19" s="52"/>
      <c r="S19" s="52"/>
      <c r="T19" s="52"/>
      <c r="U19" s="100"/>
    </row>
    <row r="20" spans="1:21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0</v>
      </c>
      <c r="G20" s="66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Q20" s="100"/>
      <c r="R20" s="52"/>
      <c r="S20" s="52"/>
      <c r="T20" s="52"/>
      <c r="U20" s="100"/>
    </row>
    <row r="21" spans="1:21" x14ac:dyDescent="0.3">
      <c r="A21" s="64">
        <v>46190</v>
      </c>
      <c r="B21" s="65">
        <v>4.1666666666666664E-2</v>
      </c>
      <c r="C21" s="66" t="s">
        <v>130</v>
      </c>
      <c r="D21" s="49">
        <v>2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Q21" s="100"/>
      <c r="R21" s="52"/>
      <c r="S21" s="52"/>
      <c r="T21" s="52"/>
      <c r="U21" s="100"/>
    </row>
    <row r="22" spans="1:21" x14ac:dyDescent="0.3">
      <c r="A22" s="64">
        <v>46190</v>
      </c>
      <c r="B22" s="65">
        <v>0.58333333333333337</v>
      </c>
      <c r="C22" s="66" t="s">
        <v>5</v>
      </c>
      <c r="D22" s="49">
        <v>3</v>
      </c>
      <c r="E22" s="49" t="s">
        <v>1</v>
      </c>
      <c r="F22" s="49">
        <v>0</v>
      </c>
      <c r="G22" s="66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100"/>
      <c r="R22" s="52"/>
      <c r="S22" s="52"/>
      <c r="T22" s="52"/>
      <c r="U22" s="100"/>
    </row>
    <row r="23" spans="1:21" x14ac:dyDescent="0.3">
      <c r="A23" s="64">
        <v>46190</v>
      </c>
      <c r="B23" s="65">
        <v>0.70833333333333337</v>
      </c>
      <c r="C23" s="66" t="s">
        <v>18</v>
      </c>
      <c r="D23" s="49">
        <v>2</v>
      </c>
      <c r="E23" s="49" t="s">
        <v>1</v>
      </c>
      <c r="F23" s="49">
        <v>1</v>
      </c>
      <c r="G23" s="66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Q23" s="100"/>
      <c r="R23" s="52"/>
      <c r="S23" s="52"/>
      <c r="T23" s="52"/>
      <c r="U23" s="100"/>
    </row>
    <row r="24" spans="1:21" x14ac:dyDescent="0.3">
      <c r="A24" s="64">
        <v>46190</v>
      </c>
      <c r="B24" s="65">
        <v>0.83333333333333337</v>
      </c>
      <c r="C24" s="66" t="s">
        <v>111</v>
      </c>
      <c r="D24" s="49">
        <v>2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Q24" s="100"/>
      <c r="R24" s="52"/>
      <c r="S24" s="52"/>
      <c r="T24" s="52"/>
      <c r="U24" s="100"/>
    </row>
    <row r="25" spans="1:21" x14ac:dyDescent="0.3">
      <c r="A25" s="64">
        <v>46190</v>
      </c>
      <c r="B25" s="65">
        <v>0.95833333333333337</v>
      </c>
      <c r="C25" s="66" t="s">
        <v>133</v>
      </c>
      <c r="D25" s="49">
        <v>1</v>
      </c>
      <c r="E25" s="49" t="s">
        <v>1</v>
      </c>
      <c r="F25" s="49">
        <v>3</v>
      </c>
      <c r="G25" s="66" t="s">
        <v>134</v>
      </c>
      <c r="K25" s="8" t="str">
        <f t="shared" si="3"/>
        <v>Colômbia</v>
      </c>
      <c r="L25" s="9">
        <f t="shared" si="4"/>
        <v>3</v>
      </c>
      <c r="M25" s="9">
        <f t="shared" si="5"/>
        <v>1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9</v>
      </c>
      <c r="Q25" s="100"/>
      <c r="R25" s="52"/>
      <c r="S25" s="52"/>
      <c r="T25" s="52"/>
      <c r="U25" s="100"/>
    </row>
    <row r="26" spans="1:21" x14ac:dyDescent="0.3">
      <c r="A26" s="114">
        <v>46191</v>
      </c>
      <c r="B26" s="115">
        <v>0.54166666666666663</v>
      </c>
      <c r="C26" s="116" t="s">
        <v>116</v>
      </c>
      <c r="D26" s="117">
        <v>2</v>
      </c>
      <c r="E26" s="117" t="s">
        <v>1</v>
      </c>
      <c r="F26" s="117">
        <v>1</v>
      </c>
      <c r="G26" s="116" t="s">
        <v>90</v>
      </c>
      <c r="K26" s="8" t="str">
        <f t="shared" si="3"/>
        <v>República Tcheca</v>
      </c>
      <c r="L26" s="9">
        <f t="shared" si="4"/>
        <v>2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100"/>
      <c r="R26" s="52"/>
      <c r="S26" s="52"/>
      <c r="T26" s="52"/>
      <c r="U26" s="100"/>
    </row>
    <row r="27" spans="1:21" x14ac:dyDescent="0.3">
      <c r="A27" s="114">
        <v>46191</v>
      </c>
      <c r="B27" s="115">
        <v>0.66666666666666663</v>
      </c>
      <c r="C27" s="116" t="s">
        <v>74</v>
      </c>
      <c r="D27" s="117">
        <v>1</v>
      </c>
      <c r="E27" s="117" t="s">
        <v>1</v>
      </c>
      <c r="F27" s="117">
        <v>1</v>
      </c>
      <c r="G27" s="116" t="s">
        <v>117</v>
      </c>
      <c r="K27" s="8" t="str">
        <f t="shared" si="3"/>
        <v>EMPATE</v>
      </c>
      <c r="L27" s="9">
        <f t="shared" si="4"/>
        <v>1</v>
      </c>
      <c r="M27" s="9">
        <f t="shared" si="5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100"/>
      <c r="R27" s="52"/>
      <c r="S27" s="52"/>
      <c r="T27" s="52"/>
      <c r="U27" s="100"/>
    </row>
    <row r="28" spans="1:21" x14ac:dyDescent="0.3">
      <c r="A28" s="114">
        <v>46191</v>
      </c>
      <c r="B28" s="115">
        <v>0.79166666666666663</v>
      </c>
      <c r="C28" s="116" t="s">
        <v>110</v>
      </c>
      <c r="D28" s="117">
        <v>1</v>
      </c>
      <c r="E28" s="117" t="s">
        <v>1</v>
      </c>
      <c r="F28" s="117">
        <v>1</v>
      </c>
      <c r="G28" s="116" t="s">
        <v>99</v>
      </c>
      <c r="K28" s="8" t="str">
        <f t="shared" si="3"/>
        <v>EMPATE</v>
      </c>
      <c r="L28" s="9">
        <f t="shared" si="4"/>
        <v>1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0</v>
      </c>
      <c r="Q28" s="100"/>
      <c r="R28" s="52"/>
      <c r="S28" s="52"/>
      <c r="T28" s="52"/>
      <c r="U28" s="100"/>
    </row>
    <row r="29" spans="1:21" x14ac:dyDescent="0.3">
      <c r="A29" s="114">
        <v>46191</v>
      </c>
      <c r="B29" s="115">
        <v>0.91666666666666663</v>
      </c>
      <c r="C29" s="116" t="s">
        <v>13</v>
      </c>
      <c r="D29" s="117">
        <v>1</v>
      </c>
      <c r="E29" s="117" t="s">
        <v>1</v>
      </c>
      <c r="F29" s="117">
        <v>1</v>
      </c>
      <c r="G29" s="116" t="s">
        <v>15</v>
      </c>
      <c r="K29" s="8" t="str">
        <f t="shared" si="3"/>
        <v>EMPATE</v>
      </c>
      <c r="L29" s="9">
        <f t="shared" si="4"/>
        <v>1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100"/>
      <c r="R29" s="52"/>
      <c r="S29" s="52"/>
      <c r="T29" s="52"/>
      <c r="U29" s="100"/>
    </row>
    <row r="30" spans="1:21" x14ac:dyDescent="0.3">
      <c r="A30" s="114">
        <v>46192</v>
      </c>
      <c r="B30" s="115">
        <v>0.66666666666666663</v>
      </c>
      <c r="C30" s="116" t="s">
        <v>109</v>
      </c>
      <c r="D30" s="117">
        <v>2</v>
      </c>
      <c r="E30" s="117" t="s">
        <v>1</v>
      </c>
      <c r="F30" s="117">
        <v>2</v>
      </c>
      <c r="G30" s="116" t="s">
        <v>8</v>
      </c>
      <c r="K30" s="8" t="str">
        <f t="shared" si="3"/>
        <v>EMPATE</v>
      </c>
      <c r="L30" s="9">
        <f t="shared" si="4"/>
        <v>2</v>
      </c>
      <c r="M30" s="9">
        <f t="shared" si="5"/>
        <v>2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0</v>
      </c>
      <c r="Q30" s="100"/>
      <c r="R30" s="52"/>
      <c r="S30" s="52"/>
      <c r="T30" s="52"/>
      <c r="U30" s="100"/>
    </row>
    <row r="31" spans="1:21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2</v>
      </c>
      <c r="G31" s="116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100"/>
      <c r="R31" s="52"/>
      <c r="S31" s="52"/>
      <c r="T31" s="126"/>
      <c r="U31" s="100"/>
    </row>
    <row r="32" spans="1:21" x14ac:dyDescent="0.3">
      <c r="A32" s="114">
        <v>46192</v>
      </c>
      <c r="B32" s="115">
        <v>0.89583333333333337</v>
      </c>
      <c r="C32" s="116" t="s">
        <v>11</v>
      </c>
      <c r="D32" s="117">
        <v>2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4"/>
        <v>2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100"/>
      <c r="R32" s="52"/>
      <c r="S32" s="52"/>
      <c r="T32" s="52"/>
      <c r="U32" s="100"/>
    </row>
    <row r="33" spans="1:21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1</v>
      </c>
      <c r="G33" s="116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100"/>
      <c r="R33" s="52"/>
      <c r="S33" s="52"/>
      <c r="T33" s="52"/>
      <c r="U33" s="100"/>
    </row>
    <row r="34" spans="1:21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2</v>
      </c>
      <c r="G34" s="116" t="s">
        <v>14</v>
      </c>
      <c r="K34" s="8" t="str">
        <f t="shared" si="3"/>
        <v>EMPATE</v>
      </c>
      <c r="L34" s="9">
        <f t="shared" si="4"/>
        <v>2</v>
      </c>
      <c r="M34" s="9">
        <f t="shared" si="5"/>
        <v>2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100"/>
      <c r="R34" s="52"/>
      <c r="S34" s="52"/>
      <c r="T34" s="52"/>
      <c r="U34" s="100"/>
    </row>
    <row r="35" spans="1:21" x14ac:dyDescent="0.3">
      <c r="A35" s="114">
        <v>46193</v>
      </c>
      <c r="B35" s="115">
        <v>0.70833333333333337</v>
      </c>
      <c r="C35" s="116" t="s">
        <v>12</v>
      </c>
      <c r="D35" s="117">
        <v>3</v>
      </c>
      <c r="E35" s="117" t="s">
        <v>1</v>
      </c>
      <c r="F35" s="117">
        <v>0</v>
      </c>
      <c r="G35" s="116" t="s">
        <v>123</v>
      </c>
      <c r="K35" s="8" t="str">
        <f t="shared" si="3"/>
        <v>Alemanha</v>
      </c>
      <c r="L35" s="9">
        <f t="shared" si="4"/>
        <v>3</v>
      </c>
      <c r="M35" s="9">
        <f t="shared" si="5"/>
        <v>0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3</v>
      </c>
      <c r="Q35" s="100"/>
      <c r="R35" s="52"/>
      <c r="S35" s="52"/>
      <c r="T35" s="52"/>
      <c r="U35" s="100"/>
    </row>
    <row r="36" spans="1:21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0</v>
      </c>
      <c r="G36" s="116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52"/>
      <c r="S36" s="52"/>
      <c r="T36" s="52"/>
      <c r="U36" s="100"/>
    </row>
    <row r="37" spans="1:21" x14ac:dyDescent="0.3">
      <c r="A37" s="114">
        <v>46194</v>
      </c>
      <c r="B37" s="115">
        <v>4.1666666666666664E-2</v>
      </c>
      <c r="C37" s="116" t="s">
        <v>17</v>
      </c>
      <c r="D37" s="117">
        <v>1</v>
      </c>
      <c r="E37" s="117" t="s">
        <v>1</v>
      </c>
      <c r="F37" s="117">
        <v>2</v>
      </c>
      <c r="G37" s="116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100"/>
      <c r="R37" s="52"/>
      <c r="S37" s="52"/>
      <c r="T37" s="52"/>
      <c r="U37" s="100"/>
    </row>
    <row r="38" spans="1:21" x14ac:dyDescent="0.3">
      <c r="A38" s="114">
        <v>46194</v>
      </c>
      <c r="B38" s="115">
        <v>0.54166666666666663</v>
      </c>
      <c r="C38" s="116" t="s">
        <v>6</v>
      </c>
      <c r="D38" s="117">
        <v>2</v>
      </c>
      <c r="E38" s="117" t="s">
        <v>1</v>
      </c>
      <c r="F38" s="117">
        <v>0</v>
      </c>
      <c r="G38" s="116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100"/>
      <c r="R38" s="52"/>
      <c r="S38" s="52"/>
      <c r="T38" s="52"/>
      <c r="U38" s="100"/>
    </row>
    <row r="39" spans="1:21" x14ac:dyDescent="0.3">
      <c r="A39" s="114">
        <v>46194</v>
      </c>
      <c r="B39" s="115">
        <v>0.66666666666666663</v>
      </c>
      <c r="C39" s="116" t="s">
        <v>16</v>
      </c>
      <c r="D39" s="117">
        <v>1</v>
      </c>
      <c r="E39" s="117" t="s">
        <v>1</v>
      </c>
      <c r="F39" s="117">
        <v>1</v>
      </c>
      <c r="G39" s="116" t="s">
        <v>108</v>
      </c>
      <c r="K39" s="8" t="str">
        <f t="shared" si="3"/>
        <v>EMPATE</v>
      </c>
      <c r="L39" s="9">
        <f t="shared" si="4"/>
        <v>1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6</v>
      </c>
      <c r="Q39" s="100"/>
      <c r="R39" s="52"/>
      <c r="S39" s="52"/>
      <c r="T39" s="52"/>
      <c r="U39" s="100"/>
    </row>
    <row r="40" spans="1:21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52"/>
      <c r="S40" s="52"/>
      <c r="T40" s="52"/>
      <c r="U40" s="100"/>
    </row>
    <row r="41" spans="1:21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100"/>
      <c r="R41" s="52"/>
      <c r="S41" s="52"/>
      <c r="T41" s="52"/>
      <c r="U41" s="100"/>
    </row>
    <row r="42" spans="1:21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1</v>
      </c>
      <c r="G42" s="116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100"/>
      <c r="R42" s="52"/>
      <c r="S42" s="52"/>
      <c r="T42" s="52"/>
      <c r="U42" s="100"/>
    </row>
    <row r="43" spans="1:21" x14ac:dyDescent="0.3">
      <c r="A43" s="114">
        <v>46195</v>
      </c>
      <c r="B43" s="115">
        <v>0.75</v>
      </c>
      <c r="C43" s="116" t="s">
        <v>7</v>
      </c>
      <c r="D43" s="117">
        <v>3</v>
      </c>
      <c r="E43" s="117" t="s">
        <v>1</v>
      </c>
      <c r="F43" s="117">
        <v>0</v>
      </c>
      <c r="G43" s="116" t="s">
        <v>127</v>
      </c>
      <c r="K43" s="8" t="str">
        <f t="shared" si="3"/>
        <v>França</v>
      </c>
      <c r="L43" s="9">
        <f t="shared" si="4"/>
        <v>3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100"/>
      <c r="R43" s="52"/>
      <c r="S43" s="52"/>
      <c r="T43" s="52"/>
      <c r="U43" s="100"/>
    </row>
    <row r="44" spans="1:21" x14ac:dyDescent="0.3">
      <c r="A44" s="114">
        <v>46195</v>
      </c>
      <c r="B44" s="115">
        <v>0.875</v>
      </c>
      <c r="C44" s="116" t="s">
        <v>128</v>
      </c>
      <c r="D44" s="117">
        <v>2</v>
      </c>
      <c r="E44" s="117" t="s">
        <v>1</v>
      </c>
      <c r="F44" s="117">
        <v>1</v>
      </c>
      <c r="G44" s="116" t="s">
        <v>20</v>
      </c>
      <c r="K44" s="8" t="str">
        <f t="shared" si="3"/>
        <v>Noruega</v>
      </c>
      <c r="L44" s="9">
        <f t="shared" si="4"/>
        <v>2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100"/>
      <c r="R44" s="52"/>
      <c r="S44" s="52"/>
      <c r="T44" s="52"/>
      <c r="U44" s="100"/>
    </row>
    <row r="45" spans="1:21" x14ac:dyDescent="0.3">
      <c r="A45" s="114">
        <v>46196</v>
      </c>
      <c r="B45" s="115">
        <v>0</v>
      </c>
      <c r="C45" s="116" t="s">
        <v>131</v>
      </c>
      <c r="D45" s="117">
        <v>1</v>
      </c>
      <c r="E45" s="117" t="s">
        <v>1</v>
      </c>
      <c r="F45" s="117">
        <v>1</v>
      </c>
      <c r="G45" s="116" t="s">
        <v>129</v>
      </c>
      <c r="K45" s="8" t="str">
        <f t="shared" si="3"/>
        <v>EMPATE</v>
      </c>
      <c r="L45" s="9">
        <f t="shared" si="4"/>
        <v>1</v>
      </c>
      <c r="M45" s="9">
        <f t="shared" si="5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100"/>
      <c r="R45" s="52"/>
      <c r="S45" s="52"/>
      <c r="T45" s="52"/>
      <c r="U45" s="100"/>
    </row>
    <row r="46" spans="1:21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0</v>
      </c>
      <c r="G46" s="116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52"/>
      <c r="S46" s="52"/>
      <c r="T46" s="52"/>
      <c r="U46" s="100"/>
    </row>
    <row r="47" spans="1:21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0</v>
      </c>
      <c r="G47" s="116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0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52"/>
      <c r="S47" s="52"/>
      <c r="T47" s="52"/>
      <c r="U47" s="100"/>
    </row>
    <row r="48" spans="1:21" x14ac:dyDescent="0.3">
      <c r="A48" s="114">
        <v>46196</v>
      </c>
      <c r="B48" s="115">
        <v>0.83333333333333337</v>
      </c>
      <c r="C48" s="116" t="s">
        <v>135</v>
      </c>
      <c r="D48" s="117">
        <v>0</v>
      </c>
      <c r="E48" s="117" t="s">
        <v>1</v>
      </c>
      <c r="F48" s="117">
        <v>2</v>
      </c>
      <c r="G48" s="116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52"/>
      <c r="S48" s="52"/>
      <c r="T48" s="52"/>
      <c r="U48" s="100"/>
    </row>
    <row r="49" spans="1:21" x14ac:dyDescent="0.3">
      <c r="A49" s="118">
        <v>46196</v>
      </c>
      <c r="B49" s="115">
        <v>0.95833333333333337</v>
      </c>
      <c r="C49" s="119" t="s">
        <v>134</v>
      </c>
      <c r="D49" s="120">
        <v>3</v>
      </c>
      <c r="E49" s="120" t="s">
        <v>1</v>
      </c>
      <c r="F49" s="120">
        <v>0</v>
      </c>
      <c r="G49" s="119" t="s">
        <v>132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52"/>
      <c r="S49" s="52"/>
      <c r="T49" s="52"/>
      <c r="U49" s="100"/>
    </row>
    <row r="50" spans="1:21" x14ac:dyDescent="0.3">
      <c r="A50" s="67">
        <v>46197</v>
      </c>
      <c r="B50" s="65">
        <v>0.66666666666666663</v>
      </c>
      <c r="C50" s="68" t="s">
        <v>74</v>
      </c>
      <c r="D50" s="69">
        <v>1</v>
      </c>
      <c r="E50" s="69" t="s">
        <v>1</v>
      </c>
      <c r="F50" s="69">
        <v>1</v>
      </c>
      <c r="G50" s="68" t="s">
        <v>110</v>
      </c>
      <c r="K50" s="8" t="str">
        <f t="shared" si="3"/>
        <v>EMPATE</v>
      </c>
      <c r="L50" s="9">
        <f t="shared" si="4"/>
        <v>1</v>
      </c>
      <c r="M50" s="9">
        <f t="shared" si="5"/>
        <v>1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1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1</v>
      </c>
      <c r="G51" s="68" t="s">
        <v>99</v>
      </c>
      <c r="K51" s="8" t="str">
        <f t="shared" si="3"/>
        <v>Bósnia</v>
      </c>
      <c r="L51" s="9">
        <f t="shared" si="4"/>
        <v>2</v>
      </c>
      <c r="M51" s="9">
        <f t="shared" si="5"/>
        <v>1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1" x14ac:dyDescent="0.3">
      <c r="A52" s="67">
        <v>46197</v>
      </c>
      <c r="B52" s="65">
        <v>0.79166666666666663</v>
      </c>
      <c r="C52" s="70" t="s">
        <v>4</v>
      </c>
      <c r="D52" s="69">
        <v>2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2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1" x14ac:dyDescent="0.3">
      <c r="A53" s="67">
        <v>46197</v>
      </c>
      <c r="B53" s="65">
        <v>0.79166666666666663</v>
      </c>
      <c r="C53" s="70" t="s">
        <v>119</v>
      </c>
      <c r="D53" s="69">
        <v>0</v>
      </c>
      <c r="E53" s="69" t="s">
        <v>1</v>
      </c>
      <c r="F53" s="69">
        <v>2</v>
      </c>
      <c r="G53" s="70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0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1" x14ac:dyDescent="0.3">
      <c r="A54" s="64">
        <v>46197</v>
      </c>
      <c r="B54" s="65">
        <v>0.91666666666666663</v>
      </c>
      <c r="C54" s="66" t="s">
        <v>90</v>
      </c>
      <c r="D54" s="49">
        <v>1</v>
      </c>
      <c r="E54" s="49" t="s">
        <v>1</v>
      </c>
      <c r="F54" s="49">
        <v>2</v>
      </c>
      <c r="G54" s="66" t="s">
        <v>15</v>
      </c>
      <c r="K54" s="8" t="str">
        <f t="shared" si="3"/>
        <v>Coréia do Sul</v>
      </c>
      <c r="L54" s="9">
        <f t="shared" si="4"/>
        <v>2</v>
      </c>
      <c r="M54" s="9">
        <f t="shared" si="5"/>
        <v>1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1" x14ac:dyDescent="0.3">
      <c r="A55" s="64">
        <v>46197</v>
      </c>
      <c r="B55" s="65">
        <v>0.91666666666666663</v>
      </c>
      <c r="C55" s="66" t="s">
        <v>116</v>
      </c>
      <c r="D55" s="49">
        <v>0</v>
      </c>
      <c r="E55" s="49" t="s">
        <v>1</v>
      </c>
      <c r="F55" s="49">
        <v>1</v>
      </c>
      <c r="G55" s="66" t="s">
        <v>13</v>
      </c>
      <c r="K55" s="8" t="str">
        <f t="shared" si="3"/>
        <v>México</v>
      </c>
      <c r="L55" s="9">
        <f t="shared" si="4"/>
        <v>1</v>
      </c>
      <c r="M55" s="9">
        <f t="shared" si="5"/>
        <v>0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1" x14ac:dyDescent="0.3">
      <c r="A56" s="64">
        <v>46198</v>
      </c>
      <c r="B56" s="65">
        <v>0.70833333333333337</v>
      </c>
      <c r="C56" s="48" t="s">
        <v>107</v>
      </c>
      <c r="D56" s="49">
        <v>0</v>
      </c>
      <c r="E56" s="49" t="s">
        <v>1</v>
      </c>
      <c r="F56" s="49">
        <v>3</v>
      </c>
      <c r="G56" s="48" t="s">
        <v>12</v>
      </c>
      <c r="K56" s="8" t="str">
        <f t="shared" si="3"/>
        <v>Alemanha</v>
      </c>
      <c r="L56" s="9">
        <f t="shared" si="4"/>
        <v>3</v>
      </c>
      <c r="M56" s="9">
        <f t="shared" si="5"/>
        <v>0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1" x14ac:dyDescent="0.3">
      <c r="A57" s="64">
        <v>46198</v>
      </c>
      <c r="B57" s="65">
        <v>0.70833333333333337</v>
      </c>
      <c r="C57" s="48" t="s">
        <v>122</v>
      </c>
      <c r="D57" s="49">
        <v>1</v>
      </c>
      <c r="E57" s="49" t="s">
        <v>1</v>
      </c>
      <c r="F57" s="49">
        <v>3</v>
      </c>
      <c r="G57" s="48" t="s">
        <v>123</v>
      </c>
      <c r="K57" s="8" t="str">
        <f t="shared" si="3"/>
        <v>Costa do Marfim</v>
      </c>
      <c r="L57" s="9">
        <f t="shared" si="4"/>
        <v>3</v>
      </c>
      <c r="M57" s="9">
        <f t="shared" si="5"/>
        <v>1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1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3</v>
      </c>
      <c r="G58" s="48" t="s">
        <v>80</v>
      </c>
      <c r="K58" s="8" t="str">
        <f t="shared" si="3"/>
        <v>Holanda</v>
      </c>
      <c r="L58" s="9">
        <f t="shared" si="4"/>
        <v>3</v>
      </c>
      <c r="M58" s="9">
        <f t="shared" si="5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1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1</v>
      </c>
      <c r="G59" s="48" t="s">
        <v>14</v>
      </c>
      <c r="K59" s="8" t="str">
        <f t="shared" si="3"/>
        <v>Japão</v>
      </c>
      <c r="L59" s="9">
        <f t="shared" si="4"/>
        <v>2</v>
      </c>
      <c r="M59" s="9">
        <f t="shared" si="5"/>
        <v>1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1" x14ac:dyDescent="0.3">
      <c r="A60" s="64">
        <v>46198</v>
      </c>
      <c r="B60" s="65">
        <v>0.95833333333333337</v>
      </c>
      <c r="C60" s="48" t="s">
        <v>121</v>
      </c>
      <c r="D60" s="49">
        <v>0</v>
      </c>
      <c r="E60" s="49" t="s">
        <v>1</v>
      </c>
      <c r="F60" s="49">
        <v>2</v>
      </c>
      <c r="G60" s="48" t="s">
        <v>109</v>
      </c>
      <c r="K60" s="8" t="str">
        <f t="shared" si="3"/>
        <v>Estados Unidos</v>
      </c>
      <c r="L60" s="9">
        <f t="shared" si="4"/>
        <v>2</v>
      </c>
      <c r="M60" s="9">
        <f t="shared" si="5"/>
        <v>0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1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2</v>
      </c>
      <c r="G61" s="48" t="s">
        <v>8</v>
      </c>
      <c r="K61" s="8" t="str">
        <f t="shared" si="3"/>
        <v>Austrália</v>
      </c>
      <c r="L61" s="9">
        <f t="shared" si="4"/>
        <v>2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1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1</v>
      </c>
      <c r="G62" s="48" t="s">
        <v>127</v>
      </c>
      <c r="K62" s="8" t="str">
        <f t="shared" si="3"/>
        <v>Senegal</v>
      </c>
      <c r="L62" s="9">
        <f t="shared" si="4"/>
        <v>2</v>
      </c>
      <c r="M62" s="9">
        <f t="shared" si="5"/>
        <v>1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1" x14ac:dyDescent="0.3">
      <c r="A63" s="64">
        <v>46199</v>
      </c>
      <c r="B63" s="65">
        <v>0.66666666666666663</v>
      </c>
      <c r="C63" s="48" t="s">
        <v>128</v>
      </c>
      <c r="D63" s="49">
        <v>2</v>
      </c>
      <c r="E63" s="49" t="s">
        <v>1</v>
      </c>
      <c r="F63" s="49">
        <v>2</v>
      </c>
      <c r="G63" s="48" t="s">
        <v>7</v>
      </c>
      <c r="K63" s="8" t="str">
        <f t="shared" si="3"/>
        <v>EMPATE</v>
      </c>
      <c r="L63" s="9">
        <f t="shared" si="4"/>
        <v>2</v>
      </c>
      <c r="M63" s="9">
        <f t="shared" si="5"/>
        <v>2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1" x14ac:dyDescent="0.3">
      <c r="A64" s="64">
        <v>46199</v>
      </c>
      <c r="B64" s="65">
        <v>0.875</v>
      </c>
      <c r="C64" s="48" t="s">
        <v>126</v>
      </c>
      <c r="D64" s="49">
        <v>2</v>
      </c>
      <c r="E64" s="49" t="s">
        <v>1</v>
      </c>
      <c r="F64" s="49">
        <v>0</v>
      </c>
      <c r="G64" s="48" t="s">
        <v>2</v>
      </c>
      <c r="K64" s="8" t="str">
        <f t="shared" si="3"/>
        <v>Cabo Verde</v>
      </c>
      <c r="L64" s="9">
        <f t="shared" si="4"/>
        <v>2</v>
      </c>
      <c r="M64" s="9">
        <f t="shared" si="5"/>
        <v>0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1</v>
      </c>
      <c r="G65" s="48" t="s">
        <v>6</v>
      </c>
      <c r="K65" s="8" t="str">
        <f t="shared" si="3"/>
        <v>EMPATE</v>
      </c>
      <c r="L65" s="9">
        <f t="shared" si="4"/>
        <v>1</v>
      </c>
      <c r="M65" s="9">
        <f t="shared" si="5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1</v>
      </c>
      <c r="E66" s="49" t="s">
        <v>1</v>
      </c>
      <c r="F66" s="49">
        <v>1</v>
      </c>
      <c r="G66" s="48" t="s">
        <v>108</v>
      </c>
      <c r="K66" s="8" t="str">
        <f t="shared" si="3"/>
        <v>EMPATE</v>
      </c>
      <c r="L66" s="9">
        <f t="shared" si="4"/>
        <v>1</v>
      </c>
      <c r="M66" s="9">
        <f t="shared" si="5"/>
        <v>1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1</v>
      </c>
      <c r="E67" s="49" t="s">
        <v>1</v>
      </c>
      <c r="F67" s="49">
        <v>2</v>
      </c>
      <c r="G67" s="48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2</v>
      </c>
      <c r="E68" s="49" t="s">
        <v>1</v>
      </c>
      <c r="F68" s="49">
        <v>1</v>
      </c>
      <c r="G68" s="48" t="s">
        <v>111</v>
      </c>
      <c r="K68" s="8" t="str">
        <f t="shared" ref="K68:K105" si="7">IF(D68="","",IF(D68&gt;F68,C68,IF(F68&gt;D68,G68,"EMPATE")))</f>
        <v>Croácia</v>
      </c>
      <c r="L68" s="9">
        <f t="shared" ref="L68:L105" si="8">IF(D68="","",IF(D68&gt;F68,D68,IF(F68&gt;D68,F68,D68)))</f>
        <v>2</v>
      </c>
      <c r="M68" s="9">
        <f t="shared" ref="M68:M105" si="9">IF(D68="","",IF(D68&lt;F68,D68,IF(F68&lt;D68,F68,D68)))</f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2</v>
      </c>
      <c r="G69" s="48" t="s">
        <v>18</v>
      </c>
      <c r="K69" s="8" t="str">
        <f t="shared" si="7"/>
        <v>Inglaterra</v>
      </c>
      <c r="L69" s="9">
        <f t="shared" si="8"/>
        <v>2</v>
      </c>
      <c r="M69" s="9">
        <f t="shared" si="9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1</v>
      </c>
      <c r="G70" s="48" t="s">
        <v>133</v>
      </c>
      <c r="K70" s="8" t="str">
        <f t="shared" si="7"/>
        <v>EMPATE</v>
      </c>
      <c r="L70" s="9">
        <f t="shared" si="8"/>
        <v>1</v>
      </c>
      <c r="M70" s="9">
        <f t="shared" si="9"/>
        <v>1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2</v>
      </c>
      <c r="G71" s="48" t="s">
        <v>5</v>
      </c>
      <c r="K71" s="8" t="str">
        <f t="shared" si="7"/>
        <v>Portugal</v>
      </c>
      <c r="L71" s="9">
        <f t="shared" si="8"/>
        <v>2</v>
      </c>
      <c r="M71" s="9">
        <f t="shared" si="9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2</v>
      </c>
      <c r="G72" s="48" t="s">
        <v>9</v>
      </c>
      <c r="K72" s="8" t="str">
        <f t="shared" si="7"/>
        <v>Argentina</v>
      </c>
      <c r="L72" s="9">
        <f t="shared" si="8"/>
        <v>2</v>
      </c>
      <c r="M72" s="9">
        <f t="shared" si="9"/>
        <v>0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2</v>
      </c>
      <c r="G73" s="48" t="s">
        <v>130</v>
      </c>
      <c r="K73" s="8" t="str">
        <f t="shared" si="7"/>
        <v>Áustria</v>
      </c>
      <c r="L73" s="9">
        <f t="shared" si="8"/>
        <v>2</v>
      </c>
      <c r="M73" s="9">
        <f t="shared" si="9"/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7"/>
        <v/>
      </c>
      <c r="L74" s="9" t="str">
        <f t="shared" si="8"/>
        <v/>
      </c>
      <c r="M74" s="9" t="str">
        <f t="shared" si="9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7"/>
        <v/>
      </c>
      <c r="L75" s="9" t="str">
        <f t="shared" si="8"/>
        <v/>
      </c>
      <c r="M75" s="9" t="str">
        <f t="shared" si="9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7"/>
        <v/>
      </c>
      <c r="L76" s="9" t="str">
        <f t="shared" si="8"/>
        <v/>
      </c>
      <c r="M76" s="9" t="str">
        <f t="shared" si="9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7"/>
        <v/>
      </c>
      <c r="L77" s="9" t="str">
        <f t="shared" si="8"/>
        <v/>
      </c>
      <c r="M77" s="9" t="str">
        <f t="shared" si="9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7"/>
        <v/>
      </c>
      <c r="L78" s="9" t="str">
        <f t="shared" si="8"/>
        <v/>
      </c>
      <c r="M78" s="9" t="str">
        <f t="shared" si="9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7"/>
        <v/>
      </c>
      <c r="L79" s="9" t="str">
        <f t="shared" si="8"/>
        <v/>
      </c>
      <c r="M79" s="9" t="str">
        <f t="shared" si="9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7"/>
        <v/>
      </c>
      <c r="L80" s="9" t="str">
        <f t="shared" si="8"/>
        <v/>
      </c>
      <c r="M80" s="9" t="str">
        <f t="shared" si="9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7"/>
        <v/>
      </c>
      <c r="L81" s="9" t="str">
        <f t="shared" si="8"/>
        <v/>
      </c>
      <c r="M81" s="9" t="str">
        <f t="shared" si="9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7"/>
        <v/>
      </c>
      <c r="L82" s="9" t="str">
        <f t="shared" si="8"/>
        <v/>
      </c>
      <c r="M82" s="9" t="str">
        <f t="shared" si="9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7"/>
        <v/>
      </c>
      <c r="L83" s="9" t="str">
        <f t="shared" si="8"/>
        <v/>
      </c>
      <c r="M83" s="9" t="str">
        <f t="shared" si="9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7"/>
        <v/>
      </c>
      <c r="L84" s="9" t="str">
        <f t="shared" si="8"/>
        <v/>
      </c>
      <c r="M84" s="9" t="str">
        <f t="shared" si="9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7"/>
        <v/>
      </c>
      <c r="L85" s="9" t="str">
        <f t="shared" si="8"/>
        <v/>
      </c>
      <c r="M85" s="9" t="str">
        <f t="shared" si="9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7"/>
        <v/>
      </c>
      <c r="L86" s="9" t="str">
        <f t="shared" si="8"/>
        <v/>
      </c>
      <c r="M86" s="9" t="str">
        <f t="shared" si="9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7"/>
        <v/>
      </c>
      <c r="L87" s="9" t="str">
        <f t="shared" si="8"/>
        <v/>
      </c>
      <c r="M87" s="9" t="str">
        <f t="shared" si="9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7"/>
        <v/>
      </c>
      <c r="L88" s="9" t="str">
        <f t="shared" si="8"/>
        <v/>
      </c>
      <c r="M88" s="9" t="str">
        <f t="shared" si="9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7"/>
        <v/>
      </c>
      <c r="L89" s="9" t="str">
        <f t="shared" si="8"/>
        <v/>
      </c>
      <c r="M89" s="9" t="str">
        <f t="shared" si="9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24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28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24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0</v>
      </c>
      <c r="G2" s="66" t="s">
        <v>90</v>
      </c>
      <c r="H2" s="155"/>
      <c r="I2" s="149"/>
      <c r="J2" s="156"/>
      <c r="K2" s="8" t="str">
        <f t="shared" ref="K2:K4" si="0">IF(D2="","",IF(D2&gt;F2,C2,IF(F2&gt;D2,G2,"EMPATE")))</f>
        <v>México</v>
      </c>
      <c r="L2" s="9">
        <f t="shared" ref="L2:L4" si="1">IF(D2="","",IF(D2&gt;F2,D2,IF(F2&gt;D2,F2,D2)))</f>
        <v>2</v>
      </c>
      <c r="M2" s="9">
        <f t="shared" ref="M2:M4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R2" s="98"/>
      <c r="S2" s="99"/>
      <c r="T2" s="100"/>
      <c r="U2" s="52"/>
      <c r="V2" s="52"/>
      <c r="W2" s="52"/>
      <c r="X2" s="100"/>
    </row>
    <row r="3" spans="1:24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3</v>
      </c>
      <c r="G3" s="66" t="s">
        <v>116</v>
      </c>
      <c r="H3" s="155"/>
      <c r="I3" s="149"/>
      <c r="J3" s="156"/>
      <c r="K3" s="8" t="str">
        <f t="shared" si="0"/>
        <v>República Tcheca</v>
      </c>
      <c r="L3" s="9">
        <f t="shared" si="1"/>
        <v>3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R3" s="98"/>
      <c r="S3" s="99"/>
      <c r="T3" s="100"/>
      <c r="U3" s="52"/>
      <c r="V3" s="52"/>
      <c r="W3" s="52"/>
      <c r="X3" s="100"/>
    </row>
    <row r="4" spans="1:24" ht="15.75" customHeight="1" x14ac:dyDescent="0.3">
      <c r="A4" s="64">
        <v>46185</v>
      </c>
      <c r="B4" s="65">
        <v>0.66666666666666663</v>
      </c>
      <c r="C4" s="66" t="s">
        <v>110</v>
      </c>
      <c r="D4" s="49">
        <v>1</v>
      </c>
      <c r="E4" s="49" t="s">
        <v>1</v>
      </c>
      <c r="F4" s="49">
        <v>1</v>
      </c>
      <c r="G4" s="66" t="s">
        <v>117</v>
      </c>
      <c r="K4" s="8" t="str">
        <f t="shared" si="0"/>
        <v>EMPATE</v>
      </c>
      <c r="L4" s="9">
        <f t="shared" si="1"/>
        <v>1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9</v>
      </c>
      <c r="R4" s="98"/>
      <c r="S4" s="99"/>
      <c r="T4" s="100"/>
      <c r="U4" s="52"/>
      <c r="V4" s="52"/>
      <c r="W4" s="52"/>
      <c r="X4" s="100"/>
    </row>
    <row r="5" spans="1:24" ht="15.75" customHeight="1" x14ac:dyDescent="0.3">
      <c r="A5" s="64">
        <v>46185</v>
      </c>
      <c r="B5" s="65">
        <v>0.91666666666666663</v>
      </c>
      <c r="C5" s="66" t="s">
        <v>109</v>
      </c>
      <c r="D5" s="49">
        <v>1</v>
      </c>
      <c r="E5" s="49" t="s">
        <v>1</v>
      </c>
      <c r="F5" s="49">
        <v>1</v>
      </c>
      <c r="G5" s="66" t="s">
        <v>120</v>
      </c>
      <c r="I5" s="18"/>
      <c r="K5" s="8" t="str">
        <f t="shared" ref="K5:K68" si="3">IF(D5="","",IF(D5&gt;F5,C5,IF(F5&gt;D5,G5,"EMPATE")))</f>
        <v>EMPATE</v>
      </c>
      <c r="L5" s="9">
        <f t="shared" ref="L5:L68" si="4">IF(D5="","",IF(D5&gt;F5,D5,IF(F5&gt;D5,F5,D5)))</f>
        <v>1</v>
      </c>
      <c r="M5" s="9">
        <f t="shared" ref="M5:M68" si="5">IF(D5="","",IF(D5&lt;F5,D5,IF(F5&lt;D5,F5,D5)))</f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  <c r="R5" s="98"/>
      <c r="S5" s="99"/>
      <c r="T5" s="100"/>
      <c r="U5" s="52"/>
      <c r="V5" s="52"/>
      <c r="W5" s="52"/>
      <c r="X5" s="100"/>
    </row>
    <row r="6" spans="1:24" ht="15.75" customHeight="1" x14ac:dyDescent="0.3">
      <c r="A6" s="64">
        <v>46186</v>
      </c>
      <c r="B6" s="65">
        <v>0.66666666666666663</v>
      </c>
      <c r="C6" s="66" t="s">
        <v>99</v>
      </c>
      <c r="D6" s="49">
        <v>1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1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R6" s="98"/>
      <c r="S6" s="99"/>
      <c r="T6" s="100"/>
      <c r="U6" s="52"/>
      <c r="V6" s="52"/>
      <c r="W6" s="52"/>
      <c r="X6" s="100"/>
    </row>
    <row r="7" spans="1:24" ht="15.75" customHeight="1" x14ac:dyDescent="0.3">
      <c r="A7" s="64">
        <v>46186</v>
      </c>
      <c r="B7" s="65">
        <v>0.79166666666666663</v>
      </c>
      <c r="C7" s="66" t="s">
        <v>11</v>
      </c>
      <c r="D7" s="49">
        <v>3</v>
      </c>
      <c r="E7" s="49" t="s">
        <v>1</v>
      </c>
      <c r="F7" s="49">
        <v>2</v>
      </c>
      <c r="G7" s="66" t="s">
        <v>4</v>
      </c>
      <c r="H7" s="15">
        <v>9</v>
      </c>
      <c r="I7" s="15">
        <f>COUNTIF($O$2:$O$65,9)</f>
        <v>6</v>
      </c>
      <c r="J7" s="15">
        <f>H7*I7</f>
        <v>54</v>
      </c>
      <c r="K7" s="8" t="str">
        <f t="shared" si="3"/>
        <v>Brasil</v>
      </c>
      <c r="L7" s="9">
        <f t="shared" si="4"/>
        <v>3</v>
      </c>
      <c r="M7" s="9">
        <f t="shared" si="5"/>
        <v>2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R7" s="98"/>
      <c r="S7" s="99"/>
      <c r="T7" s="100"/>
      <c r="U7" s="52"/>
      <c r="V7" s="52"/>
      <c r="W7" s="52"/>
      <c r="X7" s="100"/>
    </row>
    <row r="8" spans="1:24" ht="15.75" customHeight="1" x14ac:dyDescent="0.3">
      <c r="A8" s="64">
        <v>46186</v>
      </c>
      <c r="B8" s="65">
        <v>0.91666666666666663</v>
      </c>
      <c r="C8" s="66" t="s">
        <v>118</v>
      </c>
      <c r="D8" s="49">
        <v>1</v>
      </c>
      <c r="E8" s="49" t="s">
        <v>1</v>
      </c>
      <c r="F8" s="49">
        <v>1</v>
      </c>
      <c r="G8" s="66" t="s">
        <v>119</v>
      </c>
      <c r="H8" s="15">
        <v>6</v>
      </c>
      <c r="I8" s="15">
        <f>COUNTIF($O$2:$O$65,6)</f>
        <v>1</v>
      </c>
      <c r="J8" s="15">
        <f t="shared" ref="J8:J11" si="6">H8*I8</f>
        <v>6</v>
      </c>
      <c r="K8" s="8" t="str">
        <f t="shared" si="3"/>
        <v>EMPATE</v>
      </c>
      <c r="L8" s="9">
        <f t="shared" si="4"/>
        <v>1</v>
      </c>
      <c r="M8" s="9">
        <f t="shared" si="5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  <c r="R8" s="98"/>
      <c r="S8" s="99"/>
      <c r="T8" s="100"/>
      <c r="U8" s="52"/>
      <c r="V8" s="52"/>
      <c r="W8" s="52"/>
      <c r="X8" s="100"/>
    </row>
    <row r="9" spans="1:24" ht="15.75" customHeight="1" x14ac:dyDescent="0.3">
      <c r="A9" s="64">
        <v>46187</v>
      </c>
      <c r="B9" s="65">
        <v>4.1666666666666664E-2</v>
      </c>
      <c r="C9" s="66" t="s">
        <v>8</v>
      </c>
      <c r="D9" s="49">
        <v>0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3</v>
      </c>
      <c r="J9" s="15">
        <f t="shared" si="6"/>
        <v>12</v>
      </c>
      <c r="K9" s="8" t="str">
        <f t="shared" si="3"/>
        <v>Turquia</v>
      </c>
      <c r="L9" s="9">
        <f t="shared" si="4"/>
        <v>2</v>
      </c>
      <c r="M9" s="9">
        <f t="shared" si="5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R9" s="98"/>
      <c r="S9" s="99"/>
      <c r="T9" s="100"/>
      <c r="U9" s="52"/>
      <c r="V9" s="52"/>
      <c r="W9" s="52"/>
      <c r="X9" s="100"/>
    </row>
    <row r="10" spans="1:24" x14ac:dyDescent="0.3">
      <c r="A10" s="64">
        <v>46187</v>
      </c>
      <c r="B10" s="65">
        <v>0.58333333333333337</v>
      </c>
      <c r="C10" s="66" t="s">
        <v>12</v>
      </c>
      <c r="D10" s="49">
        <v>9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16</v>
      </c>
      <c r="J10" s="15">
        <f t="shared" si="6"/>
        <v>48</v>
      </c>
      <c r="K10" s="8" t="str">
        <f t="shared" si="3"/>
        <v>Alemanha</v>
      </c>
      <c r="L10" s="9">
        <f t="shared" si="4"/>
        <v>9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R10" s="98"/>
      <c r="S10" s="99"/>
      <c r="T10" s="100"/>
      <c r="U10" s="52"/>
      <c r="V10" s="52"/>
      <c r="W10" s="52"/>
      <c r="X10" s="100"/>
    </row>
    <row r="11" spans="1:24" x14ac:dyDescent="0.3">
      <c r="A11" s="64">
        <v>46187</v>
      </c>
      <c r="B11" s="65">
        <v>0.70833333333333337</v>
      </c>
      <c r="C11" s="66" t="s">
        <v>80</v>
      </c>
      <c r="D11" s="49">
        <v>1</v>
      </c>
      <c r="E11" s="49" t="s">
        <v>1</v>
      </c>
      <c r="F11" s="49">
        <v>2</v>
      </c>
      <c r="G11" s="66" t="s">
        <v>19</v>
      </c>
      <c r="H11" s="15">
        <v>0</v>
      </c>
      <c r="I11" s="15">
        <f>COUNTIF($O$2:$O$65,0)</f>
        <v>18</v>
      </c>
      <c r="J11" s="15">
        <f t="shared" si="6"/>
        <v>0</v>
      </c>
      <c r="K11" s="8" t="str">
        <f t="shared" si="3"/>
        <v>Japão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R11" s="98"/>
      <c r="S11" s="99"/>
      <c r="T11" s="100"/>
      <c r="U11" s="52"/>
      <c r="V11" s="52"/>
      <c r="W11" s="52"/>
      <c r="X11" s="100"/>
    </row>
    <row r="12" spans="1:24" ht="18" x14ac:dyDescent="0.35">
      <c r="A12" s="64">
        <v>46187</v>
      </c>
      <c r="B12" s="65">
        <v>0.83333333333333337</v>
      </c>
      <c r="C12" s="66" t="s">
        <v>123</v>
      </c>
      <c r="D12" s="49">
        <v>2</v>
      </c>
      <c r="E12" s="49" t="s">
        <v>1</v>
      </c>
      <c r="F12" s="49">
        <v>1</v>
      </c>
      <c r="G12" s="66" t="s">
        <v>107</v>
      </c>
      <c r="H12" s="15"/>
      <c r="I12" s="16" t="s">
        <v>48</v>
      </c>
      <c r="J12" s="17">
        <f>SUM(J7:J11)</f>
        <v>120</v>
      </c>
      <c r="K12" s="8" t="str">
        <f t="shared" si="3"/>
        <v>Costa do Marfim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3</v>
      </c>
      <c r="R12" s="98"/>
      <c r="S12" s="99"/>
      <c r="T12" s="100"/>
      <c r="U12" s="52"/>
      <c r="V12" s="52"/>
      <c r="W12" s="52"/>
      <c r="X12" s="100"/>
    </row>
    <row r="13" spans="1:24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1</v>
      </c>
      <c r="G13" s="66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  <c r="R13" s="98"/>
      <c r="S13" s="99"/>
      <c r="T13" s="100"/>
      <c r="U13" s="52"/>
      <c r="V13" s="52"/>
      <c r="W13" s="52"/>
      <c r="X13" s="100"/>
    </row>
    <row r="14" spans="1:24" x14ac:dyDescent="0.3">
      <c r="A14" s="64">
        <v>46188</v>
      </c>
      <c r="B14" s="65">
        <v>0.54166666666666663</v>
      </c>
      <c r="C14" s="66" t="s">
        <v>6</v>
      </c>
      <c r="D14" s="49">
        <v>4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R14" s="98"/>
      <c r="S14" s="99"/>
      <c r="T14" s="100"/>
      <c r="U14" s="52"/>
      <c r="V14" s="52"/>
      <c r="W14" s="52"/>
      <c r="X14" s="100"/>
    </row>
    <row r="15" spans="1:24" x14ac:dyDescent="0.3">
      <c r="A15" s="64">
        <v>46188</v>
      </c>
      <c r="B15" s="65">
        <v>0.66666666666666663</v>
      </c>
      <c r="C15" s="66" t="s">
        <v>16</v>
      </c>
      <c r="D15" s="49">
        <v>3</v>
      </c>
      <c r="E15" s="49" t="s">
        <v>1</v>
      </c>
      <c r="F15" s="49">
        <v>1</v>
      </c>
      <c r="G15" s="66" t="s">
        <v>124</v>
      </c>
      <c r="K15" s="8" t="str">
        <f t="shared" si="3"/>
        <v>Bélgica</v>
      </c>
      <c r="L15" s="9">
        <f t="shared" si="4"/>
        <v>3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R15" s="98"/>
      <c r="S15" s="99"/>
      <c r="T15" s="100"/>
      <c r="U15" s="52"/>
      <c r="V15" s="52"/>
      <c r="W15" s="52"/>
      <c r="X15" s="100"/>
    </row>
    <row r="16" spans="1:24" x14ac:dyDescent="0.3">
      <c r="A16" s="64">
        <v>46188</v>
      </c>
      <c r="B16" s="65">
        <v>0.79166666666666663</v>
      </c>
      <c r="C16" s="66" t="s">
        <v>2</v>
      </c>
      <c r="D16" s="49">
        <v>1</v>
      </c>
      <c r="E16" s="49" t="s">
        <v>1</v>
      </c>
      <c r="F16" s="49">
        <v>1</v>
      </c>
      <c r="G16" s="66" t="s">
        <v>3</v>
      </c>
      <c r="K16" s="8" t="str">
        <f t="shared" si="3"/>
        <v>EMPATE</v>
      </c>
      <c r="L16" s="9">
        <f t="shared" si="4"/>
        <v>1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9</v>
      </c>
      <c r="R16" s="98"/>
      <c r="S16" s="99"/>
      <c r="T16" s="100"/>
      <c r="U16" s="52"/>
      <c r="V16" s="52"/>
      <c r="W16" s="52"/>
      <c r="X16" s="100"/>
    </row>
    <row r="17" spans="1:24" x14ac:dyDescent="0.3">
      <c r="A17" s="64">
        <v>46188</v>
      </c>
      <c r="B17" s="65">
        <v>0.91666666666666663</v>
      </c>
      <c r="C17" s="66" t="s">
        <v>108</v>
      </c>
      <c r="D17" s="49">
        <v>2</v>
      </c>
      <c r="E17" s="49" t="s">
        <v>1</v>
      </c>
      <c r="F17" s="49">
        <v>0</v>
      </c>
      <c r="G17" s="66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R17" s="98"/>
      <c r="S17" s="99"/>
      <c r="T17" s="100"/>
      <c r="U17" s="52"/>
      <c r="V17" s="52"/>
      <c r="W17" s="52"/>
      <c r="X17" s="100"/>
    </row>
    <row r="18" spans="1:24" x14ac:dyDescent="0.3">
      <c r="A18" s="64">
        <v>46189</v>
      </c>
      <c r="B18" s="65">
        <v>0.66666666666666663</v>
      </c>
      <c r="C18" s="66" t="s">
        <v>7</v>
      </c>
      <c r="D18" s="49">
        <v>3</v>
      </c>
      <c r="E18" s="49" t="s">
        <v>1</v>
      </c>
      <c r="F18" s="49">
        <v>1</v>
      </c>
      <c r="G18" s="66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  <c r="R18" s="98"/>
      <c r="S18" s="99"/>
      <c r="T18" s="100"/>
      <c r="U18" s="52"/>
      <c r="V18" s="52"/>
      <c r="W18" s="52"/>
      <c r="X18" s="100"/>
    </row>
    <row r="19" spans="1:24" x14ac:dyDescent="0.3">
      <c r="A19" s="64">
        <v>46189</v>
      </c>
      <c r="B19" s="65">
        <v>0.79166666666666663</v>
      </c>
      <c r="C19" s="66" t="s">
        <v>127</v>
      </c>
      <c r="D19" s="49">
        <v>0</v>
      </c>
      <c r="E19" s="49" t="s">
        <v>1</v>
      </c>
      <c r="F19" s="49">
        <v>4</v>
      </c>
      <c r="G19" s="66" t="s">
        <v>128</v>
      </c>
      <c r="K19" s="8" t="str">
        <f t="shared" si="3"/>
        <v>Noruega</v>
      </c>
      <c r="L19" s="9">
        <f t="shared" si="4"/>
        <v>4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6</v>
      </c>
      <c r="R19" s="98"/>
      <c r="S19" s="99"/>
      <c r="T19" s="100"/>
      <c r="U19" s="52"/>
      <c r="V19" s="52"/>
      <c r="W19" s="52"/>
      <c r="X19" s="100"/>
    </row>
    <row r="20" spans="1:24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0</v>
      </c>
      <c r="G20" s="66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R20" s="98"/>
      <c r="S20" s="99"/>
      <c r="T20" s="100"/>
      <c r="U20" s="52"/>
      <c r="V20" s="52"/>
      <c r="W20" s="52"/>
      <c r="X20" s="100"/>
    </row>
    <row r="21" spans="1:24" x14ac:dyDescent="0.3">
      <c r="A21" s="64">
        <v>46190</v>
      </c>
      <c r="B21" s="65">
        <v>4.1666666666666664E-2</v>
      </c>
      <c r="C21" s="66" t="s">
        <v>130</v>
      </c>
      <c r="D21" s="49">
        <v>1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R21" s="98"/>
      <c r="S21" s="99"/>
      <c r="T21" s="100"/>
      <c r="U21" s="52"/>
      <c r="V21" s="52"/>
      <c r="W21" s="52"/>
      <c r="X21" s="100"/>
    </row>
    <row r="22" spans="1:24" x14ac:dyDescent="0.3">
      <c r="A22" s="64">
        <v>46190</v>
      </c>
      <c r="B22" s="65">
        <v>0.58333333333333337</v>
      </c>
      <c r="C22" s="66" t="s">
        <v>5</v>
      </c>
      <c r="D22" s="49">
        <v>5</v>
      </c>
      <c r="E22" s="49" t="s">
        <v>1</v>
      </c>
      <c r="F22" s="49">
        <v>0</v>
      </c>
      <c r="G22" s="66" t="s">
        <v>132</v>
      </c>
      <c r="K22" s="8" t="str">
        <f t="shared" si="3"/>
        <v>Portugal</v>
      </c>
      <c r="L22" s="9">
        <f t="shared" si="4"/>
        <v>5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R22" s="98"/>
      <c r="S22" s="99"/>
      <c r="T22" s="100"/>
      <c r="U22" s="52"/>
      <c r="V22" s="52"/>
      <c r="W22" s="52"/>
      <c r="X22" s="100"/>
    </row>
    <row r="23" spans="1:24" x14ac:dyDescent="0.3">
      <c r="A23" s="64">
        <v>46190</v>
      </c>
      <c r="B23" s="65">
        <v>0.70833333333333337</v>
      </c>
      <c r="C23" s="66" t="s">
        <v>18</v>
      </c>
      <c r="D23" s="49">
        <v>2</v>
      </c>
      <c r="E23" s="49" t="s">
        <v>1</v>
      </c>
      <c r="F23" s="49">
        <v>1</v>
      </c>
      <c r="G23" s="66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R23" s="98"/>
      <c r="S23" s="99"/>
      <c r="T23" s="100"/>
      <c r="U23" s="52"/>
      <c r="V23" s="52"/>
      <c r="W23" s="52"/>
      <c r="X23" s="100"/>
    </row>
    <row r="24" spans="1:24" x14ac:dyDescent="0.3">
      <c r="A24" s="64">
        <v>46190</v>
      </c>
      <c r="B24" s="65">
        <v>0.83333333333333337</v>
      </c>
      <c r="C24" s="66" t="s">
        <v>111</v>
      </c>
      <c r="D24" s="49">
        <v>3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R24" s="98"/>
      <c r="S24" s="99"/>
      <c r="T24" s="100"/>
      <c r="U24" s="52"/>
      <c r="V24" s="52"/>
      <c r="W24" s="52"/>
      <c r="X24" s="100"/>
    </row>
    <row r="25" spans="1:24" x14ac:dyDescent="0.3">
      <c r="A25" s="64">
        <v>46190</v>
      </c>
      <c r="B25" s="65">
        <v>0.95833333333333337</v>
      </c>
      <c r="C25" s="66" t="s">
        <v>133</v>
      </c>
      <c r="D25" s="49">
        <v>0</v>
      </c>
      <c r="E25" s="49" t="s">
        <v>1</v>
      </c>
      <c r="F25" s="49">
        <v>2</v>
      </c>
      <c r="G25" s="66" t="s">
        <v>134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  <c r="R25" s="98"/>
      <c r="S25" s="99"/>
      <c r="T25" s="100"/>
      <c r="U25" s="52"/>
      <c r="V25" s="52"/>
      <c r="W25" s="52"/>
      <c r="X25" s="100"/>
    </row>
    <row r="26" spans="1:24" x14ac:dyDescent="0.3">
      <c r="A26" s="114">
        <v>46191</v>
      </c>
      <c r="B26" s="115">
        <v>0.54166666666666663</v>
      </c>
      <c r="C26" s="116" t="s">
        <v>116</v>
      </c>
      <c r="D26" s="117">
        <v>3</v>
      </c>
      <c r="E26" s="117" t="s">
        <v>1</v>
      </c>
      <c r="F26" s="117">
        <v>1</v>
      </c>
      <c r="G26" s="116" t="s">
        <v>90</v>
      </c>
      <c r="K26" s="8" t="str">
        <f t="shared" si="3"/>
        <v>República Tcheca</v>
      </c>
      <c r="L26" s="9">
        <f t="shared" si="4"/>
        <v>3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</row>
    <row r="27" spans="1:24" x14ac:dyDescent="0.3">
      <c r="A27" s="114">
        <v>46191</v>
      </c>
      <c r="B27" s="115">
        <v>0.66666666666666663</v>
      </c>
      <c r="C27" s="116" t="s">
        <v>74</v>
      </c>
      <c r="D27" s="117">
        <v>3</v>
      </c>
      <c r="E27" s="117" t="s">
        <v>1</v>
      </c>
      <c r="F27" s="117">
        <v>0</v>
      </c>
      <c r="G27" s="116" t="s">
        <v>117</v>
      </c>
      <c r="K27" s="8" t="str">
        <f t="shared" si="3"/>
        <v>Suíça</v>
      </c>
      <c r="L27" s="9">
        <f t="shared" si="4"/>
        <v>3</v>
      </c>
      <c r="M27" s="9">
        <f t="shared" si="5"/>
        <v>0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3</v>
      </c>
    </row>
    <row r="28" spans="1:24" x14ac:dyDescent="0.3">
      <c r="A28" s="114">
        <v>46191</v>
      </c>
      <c r="B28" s="115">
        <v>0.79166666666666663</v>
      </c>
      <c r="C28" s="116" t="s">
        <v>110</v>
      </c>
      <c r="D28" s="117">
        <v>3</v>
      </c>
      <c r="E28" s="117" t="s">
        <v>1</v>
      </c>
      <c r="F28" s="117">
        <v>1</v>
      </c>
      <c r="G28" s="116" t="s">
        <v>99</v>
      </c>
      <c r="K28" s="8" t="str">
        <f t="shared" si="3"/>
        <v>Canadá</v>
      </c>
      <c r="L28" s="9">
        <f t="shared" si="4"/>
        <v>3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</row>
    <row r="29" spans="1:24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2</v>
      </c>
      <c r="G29" s="116" t="s">
        <v>15</v>
      </c>
      <c r="K29" s="8" t="str">
        <f t="shared" si="3"/>
        <v>EMPATE</v>
      </c>
      <c r="L29" s="9">
        <f t="shared" si="4"/>
        <v>2</v>
      </c>
      <c r="M29" s="9">
        <f t="shared" si="5"/>
        <v>2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</row>
    <row r="30" spans="1:24" x14ac:dyDescent="0.3">
      <c r="A30" s="114">
        <v>46192</v>
      </c>
      <c r="B30" s="115">
        <v>0.66666666666666663</v>
      </c>
      <c r="C30" s="116" t="s">
        <v>109</v>
      </c>
      <c r="D30" s="117">
        <v>3</v>
      </c>
      <c r="E30" s="117" t="s">
        <v>1</v>
      </c>
      <c r="F30" s="117">
        <v>1</v>
      </c>
      <c r="G30" s="116" t="s">
        <v>8</v>
      </c>
      <c r="K30" s="8" t="str">
        <f t="shared" si="3"/>
        <v>Estados Unidos</v>
      </c>
      <c r="L30" s="9">
        <f t="shared" si="4"/>
        <v>3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3</v>
      </c>
    </row>
    <row r="31" spans="1:24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4</v>
      </c>
      <c r="G31" s="116" t="s">
        <v>4</v>
      </c>
      <c r="K31" s="8" t="str">
        <f t="shared" si="3"/>
        <v>Marrocos</v>
      </c>
      <c r="L31" s="9">
        <f t="shared" si="4"/>
        <v>4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</row>
    <row r="32" spans="1:24" x14ac:dyDescent="0.3">
      <c r="A32" s="114">
        <v>46192</v>
      </c>
      <c r="B32" s="115">
        <v>0.89583333333333337</v>
      </c>
      <c r="C32" s="116" t="s">
        <v>11</v>
      </c>
      <c r="D32" s="117">
        <v>5</v>
      </c>
      <c r="E32" s="117" t="s">
        <v>1</v>
      </c>
      <c r="F32" s="117">
        <v>1</v>
      </c>
      <c r="G32" s="116" t="s">
        <v>118</v>
      </c>
      <c r="K32" s="8" t="str">
        <f t="shared" si="3"/>
        <v>Brasil</v>
      </c>
      <c r="L32" s="9">
        <f t="shared" si="4"/>
        <v>5</v>
      </c>
      <c r="M32" s="9">
        <f t="shared" si="5"/>
        <v>1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3</v>
      </c>
    </row>
    <row r="33" spans="1:15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3</v>
      </c>
      <c r="G33" s="116" t="s">
        <v>120</v>
      </c>
      <c r="K33" s="8" t="str">
        <f t="shared" si="3"/>
        <v>Paraguai</v>
      </c>
      <c r="L33" s="9">
        <f t="shared" si="4"/>
        <v>3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3</v>
      </c>
    </row>
    <row r="34" spans="1:15" x14ac:dyDescent="0.3">
      <c r="A34" s="114">
        <v>46193</v>
      </c>
      <c r="B34" s="115">
        <v>0.58333333333333337</v>
      </c>
      <c r="C34" s="116" t="s">
        <v>80</v>
      </c>
      <c r="D34" s="117">
        <v>1</v>
      </c>
      <c r="E34" s="117" t="s">
        <v>1</v>
      </c>
      <c r="F34" s="117">
        <v>3</v>
      </c>
      <c r="G34" s="116" t="s">
        <v>14</v>
      </c>
      <c r="K34" s="8" t="str">
        <f t="shared" si="3"/>
        <v>Suécia</v>
      </c>
      <c r="L34" s="9">
        <f t="shared" si="4"/>
        <v>3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</row>
    <row r="35" spans="1:15" x14ac:dyDescent="0.3">
      <c r="A35" s="114">
        <v>46193</v>
      </c>
      <c r="B35" s="115">
        <v>0.70833333333333337</v>
      </c>
      <c r="C35" s="116" t="s">
        <v>12</v>
      </c>
      <c r="D35" s="117">
        <v>4</v>
      </c>
      <c r="E35" s="117" t="s">
        <v>1</v>
      </c>
      <c r="F35" s="117">
        <v>1</v>
      </c>
      <c r="G35" s="116" t="s">
        <v>123</v>
      </c>
      <c r="K35" s="8" t="str">
        <f t="shared" si="3"/>
        <v>Alemanha</v>
      </c>
      <c r="L35" s="9">
        <f t="shared" si="4"/>
        <v>4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</row>
    <row r="36" spans="1:15" x14ac:dyDescent="0.3">
      <c r="A36" s="114">
        <v>46193</v>
      </c>
      <c r="B36" s="115">
        <v>0.875</v>
      </c>
      <c r="C36" s="116" t="s">
        <v>107</v>
      </c>
      <c r="D36" s="117">
        <v>4</v>
      </c>
      <c r="E36" s="117" t="s">
        <v>1</v>
      </c>
      <c r="F36" s="117">
        <v>2</v>
      </c>
      <c r="G36" s="116" t="s">
        <v>122</v>
      </c>
      <c r="K36" s="8" t="str">
        <f t="shared" si="3"/>
        <v>Equador</v>
      </c>
      <c r="L36" s="9">
        <f t="shared" si="4"/>
        <v>4</v>
      </c>
      <c r="M36" s="9">
        <f t="shared" si="5"/>
        <v>2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</row>
    <row r="37" spans="1:15" x14ac:dyDescent="0.3">
      <c r="A37" s="114">
        <v>46194</v>
      </c>
      <c r="B37" s="115">
        <v>4.1666666666666664E-2</v>
      </c>
      <c r="C37" s="116" t="s">
        <v>17</v>
      </c>
      <c r="D37" s="117">
        <v>1</v>
      </c>
      <c r="E37" s="117" t="s">
        <v>1</v>
      </c>
      <c r="F37" s="117">
        <v>3</v>
      </c>
      <c r="G37" s="116" t="s">
        <v>19</v>
      </c>
      <c r="K37" s="8" t="str">
        <f t="shared" si="3"/>
        <v>Japão</v>
      </c>
      <c r="L37" s="9">
        <f t="shared" si="4"/>
        <v>3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</row>
    <row r="38" spans="1:15" x14ac:dyDescent="0.3">
      <c r="A38" s="114">
        <v>46194</v>
      </c>
      <c r="B38" s="115">
        <v>0.54166666666666663</v>
      </c>
      <c r="C38" s="116" t="s">
        <v>6</v>
      </c>
      <c r="D38" s="117">
        <v>3</v>
      </c>
      <c r="E38" s="117" t="s">
        <v>1</v>
      </c>
      <c r="F38" s="117">
        <v>1</v>
      </c>
      <c r="G38" s="116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1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</row>
    <row r="39" spans="1:15" x14ac:dyDescent="0.3">
      <c r="A39" s="114">
        <v>46194</v>
      </c>
      <c r="B39" s="115">
        <v>0.66666666666666663</v>
      </c>
      <c r="C39" s="116" t="s">
        <v>16</v>
      </c>
      <c r="D39" s="117">
        <v>4</v>
      </c>
      <c r="E39" s="117" t="s">
        <v>1</v>
      </c>
      <c r="F39" s="117">
        <v>1</v>
      </c>
      <c r="G39" s="116" t="s">
        <v>108</v>
      </c>
      <c r="K39" s="8" t="str">
        <f t="shared" si="3"/>
        <v>Bélgica</v>
      </c>
      <c r="L39" s="9">
        <f t="shared" si="4"/>
        <v>4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</row>
    <row r="40" spans="1:15" x14ac:dyDescent="0.3">
      <c r="A40" s="114">
        <v>46194</v>
      </c>
      <c r="B40" s="115">
        <v>0.79166666666666663</v>
      </c>
      <c r="C40" s="116" t="s">
        <v>3</v>
      </c>
      <c r="D40" s="117">
        <v>3</v>
      </c>
      <c r="E40" s="117" t="s">
        <v>1</v>
      </c>
      <c r="F40" s="117">
        <v>0</v>
      </c>
      <c r="G40" s="116" t="s">
        <v>126</v>
      </c>
      <c r="K40" s="8" t="str">
        <f t="shared" si="3"/>
        <v>Uruguai</v>
      </c>
      <c r="L40" s="9">
        <f t="shared" si="4"/>
        <v>3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</row>
    <row r="41" spans="1:15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</row>
    <row r="42" spans="1:15" x14ac:dyDescent="0.3">
      <c r="A42" s="114">
        <v>46195</v>
      </c>
      <c r="B42" s="115">
        <v>0.58333333333333337</v>
      </c>
      <c r="C42" s="116" t="s">
        <v>9</v>
      </c>
      <c r="D42" s="117">
        <v>3</v>
      </c>
      <c r="E42" s="117" t="s">
        <v>1</v>
      </c>
      <c r="F42" s="117">
        <v>0</v>
      </c>
      <c r="G42" s="116" t="s">
        <v>130</v>
      </c>
      <c r="K42" s="8" t="str">
        <f t="shared" si="3"/>
        <v>Argentina</v>
      </c>
      <c r="L42" s="9">
        <f t="shared" si="4"/>
        <v>3</v>
      </c>
      <c r="M42" s="9">
        <f t="shared" si="5"/>
        <v>0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4</v>
      </c>
    </row>
    <row r="43" spans="1:15" x14ac:dyDescent="0.3">
      <c r="A43" s="114">
        <v>46195</v>
      </c>
      <c r="B43" s="115">
        <v>0.75</v>
      </c>
      <c r="C43" s="116" t="s">
        <v>7</v>
      </c>
      <c r="D43" s="117">
        <v>6</v>
      </c>
      <c r="E43" s="117" t="s">
        <v>1</v>
      </c>
      <c r="F43" s="117">
        <v>1</v>
      </c>
      <c r="G43" s="116" t="s">
        <v>127</v>
      </c>
      <c r="K43" s="8" t="str">
        <f t="shared" si="3"/>
        <v>França</v>
      </c>
      <c r="L43" s="9">
        <f t="shared" si="4"/>
        <v>6</v>
      </c>
      <c r="M43" s="9">
        <f t="shared" si="5"/>
        <v>1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3</v>
      </c>
    </row>
    <row r="44" spans="1:15" x14ac:dyDescent="0.3">
      <c r="A44" s="114">
        <v>46195</v>
      </c>
      <c r="B44" s="115">
        <v>0.875</v>
      </c>
      <c r="C44" s="116" t="s">
        <v>128</v>
      </c>
      <c r="D44" s="117">
        <v>4</v>
      </c>
      <c r="E44" s="117" t="s">
        <v>1</v>
      </c>
      <c r="F44" s="117">
        <v>1</v>
      </c>
      <c r="G44" s="116" t="s">
        <v>20</v>
      </c>
      <c r="K44" s="8" t="str">
        <f t="shared" si="3"/>
        <v>Noruega</v>
      </c>
      <c r="L44" s="9">
        <f t="shared" si="4"/>
        <v>4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</row>
    <row r="45" spans="1:15" x14ac:dyDescent="0.3">
      <c r="A45" s="114">
        <v>46196</v>
      </c>
      <c r="B45" s="115">
        <v>0</v>
      </c>
      <c r="C45" s="116" t="s">
        <v>131</v>
      </c>
      <c r="D45" s="117">
        <v>1</v>
      </c>
      <c r="E45" s="117" t="s">
        <v>1</v>
      </c>
      <c r="F45" s="117">
        <v>2</v>
      </c>
      <c r="G45" s="116" t="s">
        <v>129</v>
      </c>
      <c r="K45" s="8" t="str">
        <f t="shared" si="3"/>
        <v>Argélia</v>
      </c>
      <c r="L45" s="9">
        <f t="shared" si="4"/>
        <v>2</v>
      </c>
      <c r="M45" s="9">
        <f t="shared" si="5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9</v>
      </c>
    </row>
    <row r="46" spans="1:15" ht="15" customHeight="1" x14ac:dyDescent="0.3">
      <c r="A46" s="114">
        <v>46196</v>
      </c>
      <c r="B46" s="115">
        <v>0.58333333333333337</v>
      </c>
      <c r="C46" s="116" t="s">
        <v>5</v>
      </c>
      <c r="D46" s="117">
        <v>5</v>
      </c>
      <c r="E46" s="117" t="s">
        <v>1</v>
      </c>
      <c r="F46" s="117">
        <v>1</v>
      </c>
      <c r="G46" s="116" t="s">
        <v>133</v>
      </c>
      <c r="K46" s="8" t="str">
        <f t="shared" si="3"/>
        <v>Portugal</v>
      </c>
      <c r="L46" s="9">
        <f t="shared" si="4"/>
        <v>5</v>
      </c>
      <c r="M46" s="9">
        <f t="shared" si="5"/>
        <v>1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</row>
    <row r="47" spans="1:15" x14ac:dyDescent="0.3">
      <c r="A47" s="114">
        <v>46196</v>
      </c>
      <c r="B47" s="115">
        <v>0.70833333333333337</v>
      </c>
      <c r="C47" s="116" t="s">
        <v>18</v>
      </c>
      <c r="D47" s="117">
        <v>5</v>
      </c>
      <c r="E47" s="117" t="s">
        <v>1</v>
      </c>
      <c r="F47" s="117">
        <v>0</v>
      </c>
      <c r="G47" s="116" t="s">
        <v>111</v>
      </c>
      <c r="K47" s="8" t="str">
        <f t="shared" si="3"/>
        <v>Inglaterra</v>
      </c>
      <c r="L47" s="9">
        <f t="shared" si="4"/>
        <v>5</v>
      </c>
      <c r="M47" s="9">
        <f t="shared" si="5"/>
        <v>0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</row>
    <row r="48" spans="1:15" x14ac:dyDescent="0.3">
      <c r="A48" s="114">
        <v>46196</v>
      </c>
      <c r="B48" s="115">
        <v>0.83333333333333337</v>
      </c>
      <c r="C48" s="116" t="s">
        <v>135</v>
      </c>
      <c r="D48" s="117">
        <v>1</v>
      </c>
      <c r="E48" s="117" t="s">
        <v>1</v>
      </c>
      <c r="F48" s="117">
        <v>3</v>
      </c>
      <c r="G48" s="116" t="s">
        <v>10</v>
      </c>
      <c r="K48" s="8" t="str">
        <f t="shared" si="3"/>
        <v>Croácia</v>
      </c>
      <c r="L48" s="9">
        <f t="shared" si="4"/>
        <v>3</v>
      </c>
      <c r="M48" s="9">
        <f t="shared" si="5"/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</row>
    <row r="49" spans="1:15" x14ac:dyDescent="0.3">
      <c r="A49" s="118">
        <v>46196</v>
      </c>
      <c r="B49" s="115">
        <v>0.95833333333333337</v>
      </c>
      <c r="C49" s="119" t="s">
        <v>134</v>
      </c>
      <c r="D49" s="120">
        <v>4</v>
      </c>
      <c r="E49" s="120" t="s">
        <v>1</v>
      </c>
      <c r="F49" s="120">
        <v>1</v>
      </c>
      <c r="G49" s="119" t="s">
        <v>132</v>
      </c>
      <c r="K49" s="8" t="str">
        <f t="shared" si="3"/>
        <v>Colômbia</v>
      </c>
      <c r="L49" s="9">
        <f t="shared" si="4"/>
        <v>4</v>
      </c>
      <c r="M49" s="9">
        <f t="shared" si="5"/>
        <v>1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</row>
    <row r="50" spans="1:15" x14ac:dyDescent="0.3">
      <c r="A50" s="67">
        <v>46197</v>
      </c>
      <c r="B50" s="65">
        <v>0.66666666666666663</v>
      </c>
      <c r="C50" s="68" t="s">
        <v>74</v>
      </c>
      <c r="D50" s="69">
        <v>2</v>
      </c>
      <c r="E50" s="69" t="s">
        <v>1</v>
      </c>
      <c r="F50" s="69">
        <v>1</v>
      </c>
      <c r="G50" s="68" t="s">
        <v>110</v>
      </c>
      <c r="K50" s="8" t="str">
        <f t="shared" si="3"/>
        <v>Suíça</v>
      </c>
      <c r="L50" s="9">
        <f t="shared" si="4"/>
        <v>2</v>
      </c>
      <c r="M50" s="9">
        <f t="shared" si="5"/>
        <v>1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15" x14ac:dyDescent="0.3">
      <c r="A51" s="67">
        <v>46197</v>
      </c>
      <c r="B51" s="65">
        <v>0.66666666666666663</v>
      </c>
      <c r="C51" s="68" t="s">
        <v>117</v>
      </c>
      <c r="D51" s="69">
        <v>3</v>
      </c>
      <c r="E51" s="69" t="s">
        <v>1</v>
      </c>
      <c r="F51" s="69">
        <v>0</v>
      </c>
      <c r="G51" s="68" t="s">
        <v>99</v>
      </c>
      <c r="K51" s="8" t="str">
        <f t="shared" si="3"/>
        <v>Bósnia</v>
      </c>
      <c r="L51" s="9">
        <f t="shared" si="4"/>
        <v>3</v>
      </c>
      <c r="M51" s="9">
        <f t="shared" si="5"/>
        <v>0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15" x14ac:dyDescent="0.3">
      <c r="A52" s="67">
        <v>46197</v>
      </c>
      <c r="B52" s="65">
        <v>0.79166666666666663</v>
      </c>
      <c r="C52" s="70" t="s">
        <v>4</v>
      </c>
      <c r="D52" s="69">
        <v>6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6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15" x14ac:dyDescent="0.3">
      <c r="A53" s="67">
        <v>46197</v>
      </c>
      <c r="B53" s="65">
        <v>0.79166666666666663</v>
      </c>
      <c r="C53" s="70" t="s">
        <v>119</v>
      </c>
      <c r="D53" s="69">
        <v>1</v>
      </c>
      <c r="E53" s="69" t="s">
        <v>1</v>
      </c>
      <c r="F53" s="69">
        <v>4</v>
      </c>
      <c r="G53" s="70" t="s">
        <v>11</v>
      </c>
      <c r="K53" s="8" t="str">
        <f t="shared" si="3"/>
        <v>Brasil</v>
      </c>
      <c r="L53" s="9">
        <f t="shared" si="4"/>
        <v>4</v>
      </c>
      <c r="M53" s="9">
        <f t="shared" si="5"/>
        <v>1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15" x14ac:dyDescent="0.3">
      <c r="A54" s="64">
        <v>46197</v>
      </c>
      <c r="B54" s="65">
        <v>0.91666666666666663</v>
      </c>
      <c r="C54" s="66" t="s">
        <v>90</v>
      </c>
      <c r="D54" s="49">
        <v>0</v>
      </c>
      <c r="E54" s="49" t="s">
        <v>1</v>
      </c>
      <c r="F54" s="49">
        <v>3</v>
      </c>
      <c r="G54" s="66" t="s">
        <v>15</v>
      </c>
      <c r="K54" s="8" t="str">
        <f t="shared" si="3"/>
        <v>Coréia do Sul</v>
      </c>
      <c r="L54" s="9">
        <f t="shared" si="4"/>
        <v>3</v>
      </c>
      <c r="M54" s="9">
        <f t="shared" si="5"/>
        <v>0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15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4</v>
      </c>
      <c r="G55" s="66" t="s">
        <v>13</v>
      </c>
      <c r="K55" s="8" t="str">
        <f t="shared" si="3"/>
        <v>México</v>
      </c>
      <c r="L55" s="9">
        <f t="shared" si="4"/>
        <v>4</v>
      </c>
      <c r="M55" s="9">
        <f t="shared" si="5"/>
        <v>1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15" x14ac:dyDescent="0.3">
      <c r="A56" s="64">
        <v>46198</v>
      </c>
      <c r="B56" s="65">
        <v>0.70833333333333337</v>
      </c>
      <c r="C56" s="48" t="s">
        <v>107</v>
      </c>
      <c r="D56" s="49">
        <v>0</v>
      </c>
      <c r="E56" s="49" t="s">
        <v>1</v>
      </c>
      <c r="F56" s="49">
        <v>4</v>
      </c>
      <c r="G56" s="48" t="s">
        <v>12</v>
      </c>
      <c r="K56" s="8" t="str">
        <f t="shared" si="3"/>
        <v>Alemanha</v>
      </c>
      <c r="L56" s="9">
        <f t="shared" si="4"/>
        <v>4</v>
      </c>
      <c r="M56" s="9">
        <f t="shared" si="5"/>
        <v>0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15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5</v>
      </c>
      <c r="G57" s="48" t="s">
        <v>123</v>
      </c>
      <c r="K57" s="8" t="str">
        <f t="shared" si="3"/>
        <v>Costa do Marfim</v>
      </c>
      <c r="L57" s="9">
        <f t="shared" si="4"/>
        <v>5</v>
      </c>
      <c r="M57" s="9">
        <f t="shared" si="5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15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4</v>
      </c>
      <c r="G58" s="48" t="s">
        <v>80</v>
      </c>
      <c r="K58" s="8" t="str">
        <f t="shared" si="3"/>
        <v>Holanda</v>
      </c>
      <c r="L58" s="9">
        <f t="shared" si="4"/>
        <v>4</v>
      </c>
      <c r="M58" s="9">
        <f t="shared" si="5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15" x14ac:dyDescent="0.3">
      <c r="A59" s="64">
        <v>46198</v>
      </c>
      <c r="B59" s="65">
        <v>0.83333333333333337</v>
      </c>
      <c r="C59" s="48" t="s">
        <v>19</v>
      </c>
      <c r="D59" s="49">
        <v>3</v>
      </c>
      <c r="E59" s="49" t="s">
        <v>1</v>
      </c>
      <c r="F59" s="49">
        <v>2</v>
      </c>
      <c r="G59" s="48" t="s">
        <v>14</v>
      </c>
      <c r="K59" s="8" t="str">
        <f t="shared" si="3"/>
        <v>Japão</v>
      </c>
      <c r="L59" s="9">
        <f t="shared" si="4"/>
        <v>3</v>
      </c>
      <c r="M59" s="9">
        <f t="shared" si="5"/>
        <v>2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15" x14ac:dyDescent="0.3">
      <c r="A60" s="64">
        <v>46198</v>
      </c>
      <c r="B60" s="65">
        <v>0.95833333333333337</v>
      </c>
      <c r="C60" s="48" t="s">
        <v>121</v>
      </c>
      <c r="D60" s="49">
        <v>0</v>
      </c>
      <c r="E60" s="49" t="s">
        <v>1</v>
      </c>
      <c r="F60" s="49">
        <v>4</v>
      </c>
      <c r="G60" s="48" t="s">
        <v>109</v>
      </c>
      <c r="K60" s="8" t="str">
        <f t="shared" si="3"/>
        <v>Estados Unidos</v>
      </c>
      <c r="L60" s="9">
        <f t="shared" si="4"/>
        <v>4</v>
      </c>
      <c r="M60" s="9">
        <f t="shared" si="5"/>
        <v>0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15" x14ac:dyDescent="0.3">
      <c r="A61" s="64">
        <v>46198</v>
      </c>
      <c r="B61" s="65">
        <v>0.95833333333333337</v>
      </c>
      <c r="C61" s="48" t="s">
        <v>120</v>
      </c>
      <c r="D61" s="49">
        <v>2</v>
      </c>
      <c r="E61" s="49" t="s">
        <v>1</v>
      </c>
      <c r="F61" s="49">
        <v>1</v>
      </c>
      <c r="G61" s="48" t="s">
        <v>8</v>
      </c>
      <c r="K61" s="8" t="str">
        <f t="shared" si="3"/>
        <v>Paraguai</v>
      </c>
      <c r="L61" s="9">
        <f t="shared" si="4"/>
        <v>2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15" x14ac:dyDescent="0.3">
      <c r="A62" s="64">
        <v>46199</v>
      </c>
      <c r="B62" s="65">
        <v>0.66666666666666663</v>
      </c>
      <c r="C62" s="48" t="s">
        <v>20</v>
      </c>
      <c r="D62" s="49">
        <v>3</v>
      </c>
      <c r="E62" s="49" t="s">
        <v>1</v>
      </c>
      <c r="F62" s="49">
        <v>1</v>
      </c>
      <c r="G62" s="48" t="s">
        <v>127</v>
      </c>
      <c r="K62" s="8" t="str">
        <f t="shared" si="3"/>
        <v>Senegal</v>
      </c>
      <c r="L62" s="9">
        <f t="shared" si="4"/>
        <v>3</v>
      </c>
      <c r="M62" s="9">
        <f t="shared" si="5"/>
        <v>1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15" x14ac:dyDescent="0.3">
      <c r="A63" s="64">
        <v>46199</v>
      </c>
      <c r="B63" s="65">
        <v>0.66666666666666663</v>
      </c>
      <c r="C63" s="48" t="s">
        <v>128</v>
      </c>
      <c r="D63" s="49">
        <v>2</v>
      </c>
      <c r="E63" s="49" t="s">
        <v>1</v>
      </c>
      <c r="F63" s="49">
        <v>3</v>
      </c>
      <c r="G63" s="48" t="s">
        <v>7</v>
      </c>
      <c r="K63" s="8" t="str">
        <f t="shared" si="3"/>
        <v>França</v>
      </c>
      <c r="L63" s="9">
        <f t="shared" si="4"/>
        <v>3</v>
      </c>
      <c r="M63" s="9">
        <f t="shared" si="5"/>
        <v>2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15" x14ac:dyDescent="0.3">
      <c r="A64" s="64">
        <v>46199</v>
      </c>
      <c r="B64" s="65">
        <v>0.875</v>
      </c>
      <c r="C64" s="48" t="s">
        <v>126</v>
      </c>
      <c r="D64" s="49">
        <v>2</v>
      </c>
      <c r="E64" s="49" t="s">
        <v>1</v>
      </c>
      <c r="F64" s="49">
        <v>1</v>
      </c>
      <c r="G64" s="48" t="s">
        <v>2</v>
      </c>
      <c r="K64" s="8" t="str">
        <f t="shared" si="3"/>
        <v>Cabo Verde</v>
      </c>
      <c r="L64" s="9">
        <f t="shared" si="4"/>
        <v>2</v>
      </c>
      <c r="M64" s="9">
        <f t="shared" si="5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4</v>
      </c>
      <c r="G65" s="48" t="s">
        <v>6</v>
      </c>
      <c r="K65" s="8" t="str">
        <f t="shared" si="3"/>
        <v>Espanha</v>
      </c>
      <c r="L65" s="9">
        <f t="shared" si="4"/>
        <v>4</v>
      </c>
      <c r="M65" s="9">
        <f t="shared" si="5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3">
      <c r="A66" s="64">
        <v>46200</v>
      </c>
      <c r="B66" s="65">
        <v>0</v>
      </c>
      <c r="C66" s="48" t="s">
        <v>124</v>
      </c>
      <c r="D66" s="49">
        <v>2</v>
      </c>
      <c r="E66" s="49" t="s">
        <v>1</v>
      </c>
      <c r="F66" s="49">
        <v>0</v>
      </c>
      <c r="G66" s="48" t="s">
        <v>108</v>
      </c>
      <c r="K66" s="8" t="str">
        <f t="shared" si="3"/>
        <v>Egito</v>
      </c>
      <c r="L66" s="9">
        <f t="shared" si="4"/>
        <v>2</v>
      </c>
      <c r="M66" s="9">
        <f t="shared" si="5"/>
        <v>0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3">
      <c r="A67" s="64">
        <v>46200</v>
      </c>
      <c r="B67" s="65">
        <v>0</v>
      </c>
      <c r="C67" s="48" t="s">
        <v>125</v>
      </c>
      <c r="D67" s="49">
        <v>1</v>
      </c>
      <c r="E67" s="49" t="s">
        <v>1</v>
      </c>
      <c r="F67" s="49">
        <v>2</v>
      </c>
      <c r="G67" s="48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3">
      <c r="A68" s="64">
        <v>46200</v>
      </c>
      <c r="B68" s="65">
        <v>0.75</v>
      </c>
      <c r="C68" s="48" t="s">
        <v>10</v>
      </c>
      <c r="D68" s="49">
        <v>3</v>
      </c>
      <c r="E68" s="49" t="s">
        <v>1</v>
      </c>
      <c r="F68" s="49">
        <v>1</v>
      </c>
      <c r="G68" s="48" t="s">
        <v>111</v>
      </c>
      <c r="K68" s="8" t="str">
        <f t="shared" si="3"/>
        <v>Croácia</v>
      </c>
      <c r="L68" s="9">
        <f t="shared" si="4"/>
        <v>3</v>
      </c>
      <c r="M68" s="9">
        <f t="shared" si="5"/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6</v>
      </c>
      <c r="G69" s="48" t="s">
        <v>18</v>
      </c>
      <c r="K69" s="8" t="str">
        <f t="shared" ref="K69:K71" si="7">IF(D69="","",IF(D69&gt;F69,C69,IF(F69&gt;D69,G69,"EMPATE")))</f>
        <v>Inglaterra</v>
      </c>
      <c r="L69" s="9">
        <f t="shared" ref="L69:L71" si="8">IF(D69="","",IF(D69&gt;F69,D69,IF(F69&gt;D69,F69,D69)))</f>
        <v>6</v>
      </c>
      <c r="M69" s="9">
        <f t="shared" ref="M69:M71" si="9">IF(D69="","",IF(D69&lt;F69,D69,IF(F69&lt;D69,F69,D69)))</f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0</v>
      </c>
      <c r="G70" s="48" t="s">
        <v>133</v>
      </c>
      <c r="K70" s="8" t="str">
        <f t="shared" si="7"/>
        <v>RD Congo</v>
      </c>
      <c r="L70" s="9">
        <f t="shared" si="8"/>
        <v>1</v>
      </c>
      <c r="M70" s="9">
        <f t="shared" si="9"/>
        <v>0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3">
      <c r="A71" s="64">
        <v>46200</v>
      </c>
      <c r="B71" s="65">
        <v>0.85416666666666663</v>
      </c>
      <c r="C71" s="48" t="s">
        <v>134</v>
      </c>
      <c r="D71" s="49">
        <v>2</v>
      </c>
      <c r="E71" s="49" t="s">
        <v>1</v>
      </c>
      <c r="F71" s="49">
        <v>1</v>
      </c>
      <c r="G71" s="48" t="s">
        <v>5</v>
      </c>
      <c r="K71" s="8" t="str">
        <f t="shared" si="7"/>
        <v>Colômbia</v>
      </c>
      <c r="L71" s="9">
        <f t="shared" si="8"/>
        <v>2</v>
      </c>
      <c r="M71" s="9">
        <f t="shared" si="9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3">
      <c r="A72" s="64">
        <v>46200</v>
      </c>
      <c r="B72" s="65">
        <v>0.95833333333333337</v>
      </c>
      <c r="C72" s="48" t="s">
        <v>131</v>
      </c>
      <c r="D72" s="49">
        <v>1</v>
      </c>
      <c r="E72" s="49" t="s">
        <v>1</v>
      </c>
      <c r="F72" s="49">
        <v>4</v>
      </c>
      <c r="G72" s="48" t="s">
        <v>9</v>
      </c>
      <c r="K72" s="8" t="str">
        <f t="shared" ref="K72:K105" si="10">IF(D72="","",IF(D72&gt;F72,C72,IF(F72&gt;D72,G72,"EMPATE")))</f>
        <v>Argentina</v>
      </c>
      <c r="L72" s="9">
        <f t="shared" ref="L72:L105" si="11">IF(D72="","",IF(D72&gt;F72,D72,IF(F72&gt;D72,F72,D72)))</f>
        <v>4</v>
      </c>
      <c r="M72" s="9">
        <f t="shared" ref="M72:M105" si="12">IF(D72="","",IF(D72&lt;F72,D72,IF(F72&lt;D72,F72,D72)))</f>
        <v>1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2</v>
      </c>
      <c r="G73" s="48" t="s">
        <v>130</v>
      </c>
      <c r="K73" s="8" t="str">
        <f t="shared" si="10"/>
        <v>Áustria</v>
      </c>
      <c r="L73" s="9">
        <f t="shared" si="11"/>
        <v>2</v>
      </c>
      <c r="M73" s="9">
        <f t="shared" si="12"/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0FDC-B4D2-48AB-89DC-338BEA597D86}">
  <dimension ref="A1:U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105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3">
      <c r="A2" s="64">
        <v>46184</v>
      </c>
      <c r="B2" s="65">
        <v>0.66666666666666663</v>
      </c>
      <c r="C2" s="66" t="s">
        <v>13</v>
      </c>
      <c r="D2" s="49">
        <v>3</v>
      </c>
      <c r="E2" s="49" t="s">
        <v>1</v>
      </c>
      <c r="F2" s="49">
        <v>2</v>
      </c>
      <c r="G2" s="66" t="s">
        <v>90</v>
      </c>
      <c r="H2" s="155"/>
      <c r="I2" s="149"/>
      <c r="J2" s="156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3</v>
      </c>
      <c r="M2" s="9">
        <f t="shared" ref="M2:M3" si="2">IF(D2="","",IF(D2&lt;F2,D2,IF(F2&lt;D2,F2,D2)))</f>
        <v>2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3</v>
      </c>
    </row>
    <row r="3" spans="1:15" ht="15.75" customHeight="1" x14ac:dyDescent="0.3">
      <c r="A3" s="64">
        <v>46184</v>
      </c>
      <c r="B3" s="65">
        <v>0.95833333333333337</v>
      </c>
      <c r="C3" s="66" t="s">
        <v>15</v>
      </c>
      <c r="D3" s="49">
        <v>2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Coréia do Sul</v>
      </c>
      <c r="L3" s="9">
        <f t="shared" si="1"/>
        <v>2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9</v>
      </c>
    </row>
    <row r="4" spans="1:15" ht="15.75" customHeight="1" x14ac:dyDescent="0.3">
      <c r="A4" s="64">
        <v>46185</v>
      </c>
      <c r="B4" s="65">
        <v>0.66666666666666663</v>
      </c>
      <c r="C4" s="66" t="s">
        <v>110</v>
      </c>
      <c r="D4" s="49">
        <v>2</v>
      </c>
      <c r="E4" s="49" t="s">
        <v>1</v>
      </c>
      <c r="F4" s="49">
        <v>0</v>
      </c>
      <c r="G4" s="66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1</v>
      </c>
      <c r="G5" s="66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64">
        <v>46186</v>
      </c>
      <c r="B6" s="65">
        <v>0.66666666666666663</v>
      </c>
      <c r="C6" s="66" t="s">
        <v>99</v>
      </c>
      <c r="D6" s="49">
        <v>2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EMPATE</v>
      </c>
      <c r="L6" s="9">
        <f t="shared" si="4"/>
        <v>2</v>
      </c>
      <c r="M6" s="9">
        <f t="shared" si="5"/>
        <v>2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6</v>
      </c>
    </row>
    <row r="7" spans="1:15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4</v>
      </c>
      <c r="J7" s="15">
        <f>H7*I7</f>
        <v>36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64">
        <v>46186</v>
      </c>
      <c r="B8" s="65">
        <v>0.91666666666666663</v>
      </c>
      <c r="C8" s="66" t="s">
        <v>118</v>
      </c>
      <c r="D8" s="49">
        <v>0</v>
      </c>
      <c r="E8" s="49" t="s">
        <v>1</v>
      </c>
      <c r="F8" s="49">
        <v>1</v>
      </c>
      <c r="G8" s="66" t="s">
        <v>119</v>
      </c>
      <c r="H8" s="15">
        <v>6</v>
      </c>
      <c r="I8" s="15">
        <f>COUNTIF($O$2:$O$65,6)</f>
        <v>5</v>
      </c>
      <c r="J8" s="15">
        <f t="shared" ref="J8:J11" si="6">H8*I8</f>
        <v>30</v>
      </c>
      <c r="K8" s="8" t="str">
        <f t="shared" si="3"/>
        <v>Escócia</v>
      </c>
      <c r="L8" s="9">
        <f t="shared" si="4"/>
        <v>1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9</v>
      </c>
    </row>
    <row r="9" spans="1:15" ht="15.75" customHeight="1" x14ac:dyDescent="0.3">
      <c r="A9" s="64">
        <v>46187</v>
      </c>
      <c r="B9" s="65">
        <v>4.1666666666666664E-2</v>
      </c>
      <c r="C9" s="66" t="s">
        <v>8</v>
      </c>
      <c r="D9" s="49">
        <v>2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6</v>
      </c>
      <c r="J9" s="15">
        <f t="shared" si="6"/>
        <v>24</v>
      </c>
      <c r="K9" s="8" t="str">
        <f t="shared" si="3"/>
        <v>EMPATE</v>
      </c>
      <c r="L9" s="9">
        <f t="shared" si="4"/>
        <v>2</v>
      </c>
      <c r="M9" s="9">
        <f t="shared" si="5"/>
        <v>2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64">
        <v>46187</v>
      </c>
      <c r="B10" s="65">
        <v>0.58333333333333337</v>
      </c>
      <c r="C10" s="66" t="s">
        <v>12</v>
      </c>
      <c r="D10" s="49">
        <v>3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13</v>
      </c>
      <c r="J10" s="15">
        <f t="shared" si="6"/>
        <v>39</v>
      </c>
      <c r="K10" s="8" t="str">
        <f t="shared" si="3"/>
        <v>Alemanha</v>
      </c>
      <c r="L10" s="9">
        <f t="shared" si="4"/>
        <v>3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2</v>
      </c>
      <c r="G11" s="66" t="s">
        <v>19</v>
      </c>
      <c r="H11" s="15">
        <v>0</v>
      </c>
      <c r="I11" s="15">
        <f>COUNTIF($O$2:$O$65,0)</f>
        <v>16</v>
      </c>
      <c r="J11" s="15">
        <f t="shared" si="6"/>
        <v>0</v>
      </c>
      <c r="K11" s="8" t="str">
        <f t="shared" si="3"/>
        <v>EMPATE</v>
      </c>
      <c r="L11" s="9">
        <f t="shared" si="4"/>
        <v>2</v>
      </c>
      <c r="M11" s="9">
        <f t="shared" si="5"/>
        <v>2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9</v>
      </c>
    </row>
    <row r="12" spans="1:15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2</v>
      </c>
      <c r="G12" s="66" t="s">
        <v>107</v>
      </c>
      <c r="H12" s="15"/>
      <c r="I12" s="16" t="s">
        <v>48</v>
      </c>
      <c r="J12" s="17">
        <f>SUM(J7:J11)</f>
        <v>129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64">
        <v>46187</v>
      </c>
      <c r="B13" s="65">
        <v>0.95833333333333337</v>
      </c>
      <c r="C13" s="66" t="s">
        <v>14</v>
      </c>
      <c r="D13" s="49">
        <v>1</v>
      </c>
      <c r="E13" s="49" t="s">
        <v>1</v>
      </c>
      <c r="F13" s="49">
        <v>1</v>
      </c>
      <c r="G13" s="66" t="s">
        <v>17</v>
      </c>
      <c r="K13" s="8" t="str">
        <f t="shared" si="3"/>
        <v>EMPATE</v>
      </c>
      <c r="L13" s="9">
        <f t="shared" si="4"/>
        <v>1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0</v>
      </c>
    </row>
    <row r="14" spans="1:15" x14ac:dyDescent="0.3">
      <c r="A14" s="64">
        <v>46188</v>
      </c>
      <c r="B14" s="65">
        <v>0.54166666666666663</v>
      </c>
      <c r="C14" s="66" t="s">
        <v>6</v>
      </c>
      <c r="D14" s="49">
        <v>2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2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64">
        <v>46188</v>
      </c>
      <c r="B15" s="65">
        <v>0.66666666666666663</v>
      </c>
      <c r="C15" s="66" t="s">
        <v>16</v>
      </c>
      <c r="D15" s="49">
        <v>2</v>
      </c>
      <c r="E15" s="49" t="s">
        <v>1</v>
      </c>
      <c r="F15" s="49">
        <v>1</v>
      </c>
      <c r="G15" s="66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64">
        <v>46188</v>
      </c>
      <c r="B16" s="65">
        <v>0.79166666666666663</v>
      </c>
      <c r="C16" s="66" t="s">
        <v>2</v>
      </c>
      <c r="D16" s="49">
        <v>0</v>
      </c>
      <c r="E16" s="49" t="s">
        <v>1</v>
      </c>
      <c r="F16" s="49">
        <v>2</v>
      </c>
      <c r="G16" s="66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64">
        <v>46188</v>
      </c>
      <c r="B17" s="65">
        <v>0.91666666666666663</v>
      </c>
      <c r="C17" s="66" t="s">
        <v>108</v>
      </c>
      <c r="D17" s="49">
        <v>0</v>
      </c>
      <c r="E17" s="49" t="s">
        <v>1</v>
      </c>
      <c r="F17" s="49">
        <v>2</v>
      </c>
      <c r="G17" s="66" t="s">
        <v>125</v>
      </c>
      <c r="K17" s="8" t="str">
        <f t="shared" si="3"/>
        <v>Nova Zelândia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3">
      <c r="A18" s="64">
        <v>46189</v>
      </c>
      <c r="B18" s="65">
        <v>0.66666666666666663</v>
      </c>
      <c r="C18" s="66" t="s">
        <v>7</v>
      </c>
      <c r="D18" s="49">
        <v>3</v>
      </c>
      <c r="E18" s="49" t="s">
        <v>1</v>
      </c>
      <c r="F18" s="49">
        <v>0</v>
      </c>
      <c r="G18" s="66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0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6</v>
      </c>
    </row>
    <row r="19" spans="1:21" x14ac:dyDescent="0.3">
      <c r="A19" s="64">
        <v>46189</v>
      </c>
      <c r="B19" s="65">
        <v>0.79166666666666663</v>
      </c>
      <c r="C19" s="66" t="s">
        <v>127</v>
      </c>
      <c r="D19" s="49">
        <v>0</v>
      </c>
      <c r="E19" s="49" t="s">
        <v>1</v>
      </c>
      <c r="F19" s="49">
        <v>1</v>
      </c>
      <c r="G19" s="66" t="s">
        <v>128</v>
      </c>
      <c r="K19" s="8" t="str">
        <f t="shared" si="3"/>
        <v>Noruega</v>
      </c>
      <c r="L19" s="9">
        <f t="shared" si="4"/>
        <v>1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3">
      <c r="A20" s="64">
        <v>46189</v>
      </c>
      <c r="B20" s="65">
        <v>0.91666666666666663</v>
      </c>
      <c r="C20" s="66" t="s">
        <v>9</v>
      </c>
      <c r="D20" s="49">
        <v>2</v>
      </c>
      <c r="E20" s="49" t="s">
        <v>1</v>
      </c>
      <c r="F20" s="49">
        <v>0</v>
      </c>
      <c r="G20" s="66" t="s">
        <v>129</v>
      </c>
      <c r="K20" s="8" t="str">
        <f t="shared" si="3"/>
        <v>Argentina</v>
      </c>
      <c r="L20" s="9">
        <f t="shared" si="4"/>
        <v>2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4</v>
      </c>
    </row>
    <row r="21" spans="1:21" x14ac:dyDescent="0.3">
      <c r="A21" s="64">
        <v>46190</v>
      </c>
      <c r="B21" s="65">
        <v>4.1666666666666664E-2</v>
      </c>
      <c r="C21" s="66" t="s">
        <v>130</v>
      </c>
      <c r="D21" s="49">
        <v>1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64">
        <v>46190</v>
      </c>
      <c r="B22" s="65">
        <v>0.58333333333333337</v>
      </c>
      <c r="C22" s="66" t="s">
        <v>5</v>
      </c>
      <c r="D22" s="49">
        <v>2</v>
      </c>
      <c r="E22" s="49" t="s">
        <v>1</v>
      </c>
      <c r="F22" s="49">
        <v>0</v>
      </c>
      <c r="G22" s="66" t="s">
        <v>132</v>
      </c>
      <c r="K22" s="8" t="str">
        <f t="shared" si="3"/>
        <v>Portugal</v>
      </c>
      <c r="L22" s="9">
        <f t="shared" si="4"/>
        <v>2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64">
        <v>46190</v>
      </c>
      <c r="B23" s="65">
        <v>0.70833333333333337</v>
      </c>
      <c r="C23" s="66" t="s">
        <v>18</v>
      </c>
      <c r="D23" s="49">
        <v>3</v>
      </c>
      <c r="E23" s="49" t="s">
        <v>1</v>
      </c>
      <c r="F23" s="49">
        <v>2</v>
      </c>
      <c r="G23" s="66" t="s">
        <v>10</v>
      </c>
      <c r="K23" s="8" t="str">
        <f t="shared" si="3"/>
        <v>Inglaterra</v>
      </c>
      <c r="L23" s="9">
        <f t="shared" si="4"/>
        <v>3</v>
      </c>
      <c r="M23" s="9">
        <f t="shared" si="5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4</v>
      </c>
    </row>
    <row r="24" spans="1:21" x14ac:dyDescent="0.3">
      <c r="A24" s="64">
        <v>46190</v>
      </c>
      <c r="B24" s="65">
        <v>0.83333333333333337</v>
      </c>
      <c r="C24" s="66" t="s">
        <v>111</v>
      </c>
      <c r="D24" s="49">
        <v>1</v>
      </c>
      <c r="E24" s="49" t="s">
        <v>1</v>
      </c>
      <c r="F24" s="49">
        <v>2</v>
      </c>
      <c r="G24" s="66" t="s">
        <v>135</v>
      </c>
      <c r="K24" s="8" t="str">
        <f t="shared" si="3"/>
        <v>Panamá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0</v>
      </c>
    </row>
    <row r="25" spans="1:21" x14ac:dyDescent="0.3">
      <c r="A25" s="64">
        <v>46190</v>
      </c>
      <c r="B25" s="65">
        <v>0.95833333333333337</v>
      </c>
      <c r="C25" s="66" t="s">
        <v>133</v>
      </c>
      <c r="D25" s="49">
        <v>0</v>
      </c>
      <c r="E25" s="49" t="s">
        <v>1</v>
      </c>
      <c r="F25" s="49">
        <v>2</v>
      </c>
      <c r="G25" s="66" t="s">
        <v>134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</row>
    <row r="26" spans="1:21" x14ac:dyDescent="0.3">
      <c r="A26" s="114">
        <v>46191</v>
      </c>
      <c r="B26" s="115">
        <v>0.54166666666666663</v>
      </c>
      <c r="C26" s="116" t="s">
        <v>116</v>
      </c>
      <c r="D26" s="117">
        <v>2</v>
      </c>
      <c r="E26" s="117" t="s">
        <v>1</v>
      </c>
      <c r="F26" s="117">
        <v>0</v>
      </c>
      <c r="G26" s="116" t="s">
        <v>90</v>
      </c>
      <c r="K26" s="8" t="str">
        <f t="shared" si="3"/>
        <v>República Tcheca</v>
      </c>
      <c r="L26" s="9">
        <f t="shared" si="4"/>
        <v>2</v>
      </c>
      <c r="M26" s="9">
        <f t="shared" si="5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100"/>
      <c r="R26" s="52"/>
      <c r="S26" s="52"/>
      <c r="T26" s="52"/>
      <c r="U26" s="100"/>
    </row>
    <row r="27" spans="1:21" x14ac:dyDescent="0.3">
      <c r="A27" s="114">
        <v>46191</v>
      </c>
      <c r="B27" s="115">
        <v>0.66666666666666663</v>
      </c>
      <c r="C27" s="116" t="s">
        <v>74</v>
      </c>
      <c r="D27" s="117">
        <v>2</v>
      </c>
      <c r="E27" s="117" t="s">
        <v>1</v>
      </c>
      <c r="F27" s="117">
        <v>0</v>
      </c>
      <c r="G27" s="116" t="s">
        <v>117</v>
      </c>
      <c r="K27" s="8" t="str">
        <f t="shared" si="3"/>
        <v>Suíça</v>
      </c>
      <c r="L27" s="9">
        <f t="shared" si="4"/>
        <v>2</v>
      </c>
      <c r="M27" s="9">
        <f t="shared" si="5"/>
        <v>0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3</v>
      </c>
      <c r="Q27" s="100"/>
      <c r="R27" s="52"/>
      <c r="S27" s="52"/>
      <c r="T27" s="52"/>
      <c r="U27" s="100"/>
    </row>
    <row r="28" spans="1:21" x14ac:dyDescent="0.3">
      <c r="A28" s="114">
        <v>46191</v>
      </c>
      <c r="B28" s="115">
        <v>0.79166666666666663</v>
      </c>
      <c r="C28" s="116" t="s">
        <v>110</v>
      </c>
      <c r="D28" s="117">
        <v>2</v>
      </c>
      <c r="E28" s="117" t="s">
        <v>1</v>
      </c>
      <c r="F28" s="117">
        <v>1</v>
      </c>
      <c r="G28" s="116" t="s">
        <v>99</v>
      </c>
      <c r="K28" s="8" t="str">
        <f t="shared" si="3"/>
        <v>Canadá</v>
      </c>
      <c r="L28" s="9">
        <f t="shared" si="4"/>
        <v>2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100"/>
      <c r="R28" s="52"/>
      <c r="S28" s="52"/>
      <c r="T28" s="52"/>
      <c r="U28" s="100"/>
    </row>
    <row r="29" spans="1:21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1</v>
      </c>
      <c r="G29" s="116" t="s">
        <v>15</v>
      </c>
      <c r="K29" s="8" t="str">
        <f t="shared" si="3"/>
        <v>México</v>
      </c>
      <c r="L29" s="9">
        <f t="shared" si="4"/>
        <v>2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100"/>
      <c r="R29" s="52"/>
      <c r="S29" s="52"/>
      <c r="T29" s="52"/>
      <c r="U29" s="100"/>
    </row>
    <row r="30" spans="1:21" x14ac:dyDescent="0.3">
      <c r="A30" s="114">
        <v>46192</v>
      </c>
      <c r="B30" s="115">
        <v>0.66666666666666663</v>
      </c>
      <c r="C30" s="116" t="s">
        <v>109</v>
      </c>
      <c r="D30" s="117">
        <v>2</v>
      </c>
      <c r="E30" s="117" t="s">
        <v>1</v>
      </c>
      <c r="F30" s="117">
        <v>1</v>
      </c>
      <c r="G30" s="116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Q30" s="100"/>
      <c r="R30" s="52"/>
      <c r="S30" s="52"/>
      <c r="T30" s="52"/>
      <c r="U30" s="100"/>
    </row>
    <row r="31" spans="1:21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2</v>
      </c>
      <c r="G31" s="116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100"/>
      <c r="R31" s="52"/>
      <c r="S31" s="52"/>
      <c r="T31" s="52"/>
      <c r="U31" s="100"/>
    </row>
    <row r="32" spans="1:21" x14ac:dyDescent="0.3">
      <c r="A32" s="114">
        <v>46192</v>
      </c>
      <c r="B32" s="115">
        <v>0.89583333333333337</v>
      </c>
      <c r="C32" s="116" t="s">
        <v>11</v>
      </c>
      <c r="D32" s="117">
        <v>3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4"/>
        <v>3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100"/>
      <c r="R32" s="52"/>
      <c r="S32" s="52"/>
      <c r="T32" s="52"/>
      <c r="U32" s="100"/>
    </row>
    <row r="33" spans="1:21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1</v>
      </c>
      <c r="G33" s="116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100"/>
      <c r="R33" s="52"/>
      <c r="S33" s="52"/>
      <c r="T33" s="52"/>
      <c r="U33" s="100"/>
    </row>
    <row r="34" spans="1:21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1</v>
      </c>
      <c r="G34" s="116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100"/>
      <c r="R34" s="52"/>
      <c r="S34" s="52"/>
      <c r="T34" s="52"/>
      <c r="U34" s="100"/>
    </row>
    <row r="35" spans="1:21" x14ac:dyDescent="0.3">
      <c r="A35" s="114">
        <v>46193</v>
      </c>
      <c r="B35" s="115">
        <v>0.70833333333333337</v>
      </c>
      <c r="C35" s="116" t="s">
        <v>12</v>
      </c>
      <c r="D35" s="117">
        <v>3</v>
      </c>
      <c r="E35" s="117" t="s">
        <v>1</v>
      </c>
      <c r="F35" s="117">
        <v>0</v>
      </c>
      <c r="G35" s="116" t="s">
        <v>123</v>
      </c>
      <c r="K35" s="8" t="str">
        <f t="shared" si="3"/>
        <v>Alemanha</v>
      </c>
      <c r="L35" s="9">
        <f t="shared" si="4"/>
        <v>3</v>
      </c>
      <c r="M35" s="9">
        <f t="shared" si="5"/>
        <v>0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3</v>
      </c>
      <c r="Q35" s="100"/>
      <c r="R35" s="52"/>
      <c r="S35" s="52"/>
      <c r="T35" s="52"/>
      <c r="U35" s="100"/>
    </row>
    <row r="36" spans="1:21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0</v>
      </c>
      <c r="G36" s="116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52"/>
      <c r="S36" s="52"/>
      <c r="T36" s="52"/>
      <c r="U36" s="100"/>
    </row>
    <row r="37" spans="1:21" x14ac:dyDescent="0.3">
      <c r="A37" s="114">
        <v>46194</v>
      </c>
      <c r="B37" s="115">
        <v>4.1666666666666664E-2</v>
      </c>
      <c r="C37" s="116" t="s">
        <v>17</v>
      </c>
      <c r="D37" s="117">
        <v>1</v>
      </c>
      <c r="E37" s="117" t="s">
        <v>1</v>
      </c>
      <c r="F37" s="117">
        <v>2</v>
      </c>
      <c r="G37" s="116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100"/>
      <c r="R37" s="52"/>
      <c r="S37" s="52"/>
      <c r="T37" s="52"/>
      <c r="U37" s="100"/>
    </row>
    <row r="38" spans="1:21" x14ac:dyDescent="0.3">
      <c r="A38" s="114">
        <v>46194</v>
      </c>
      <c r="B38" s="115">
        <v>0.54166666666666663</v>
      </c>
      <c r="C38" s="116" t="s">
        <v>6</v>
      </c>
      <c r="D38" s="117">
        <v>3</v>
      </c>
      <c r="E38" s="117" t="s">
        <v>1</v>
      </c>
      <c r="F38" s="117">
        <v>1</v>
      </c>
      <c r="G38" s="116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1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  <c r="Q38" s="100"/>
      <c r="R38" s="52"/>
      <c r="S38" s="52"/>
      <c r="T38" s="52"/>
      <c r="U38" s="100"/>
    </row>
    <row r="39" spans="1:21" x14ac:dyDescent="0.3">
      <c r="A39" s="114">
        <v>46194</v>
      </c>
      <c r="B39" s="115">
        <v>0.66666666666666663</v>
      </c>
      <c r="C39" s="116" t="s">
        <v>16</v>
      </c>
      <c r="D39" s="117">
        <v>2</v>
      </c>
      <c r="E39" s="117" t="s">
        <v>1</v>
      </c>
      <c r="F39" s="117">
        <v>0</v>
      </c>
      <c r="G39" s="116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0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100"/>
      <c r="R39" s="52"/>
      <c r="S39" s="52"/>
      <c r="T39" s="52"/>
      <c r="U39" s="100"/>
    </row>
    <row r="40" spans="1:21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52"/>
      <c r="S40" s="52"/>
      <c r="T40" s="52"/>
      <c r="U40" s="100"/>
    </row>
    <row r="41" spans="1:21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2</v>
      </c>
      <c r="G41" s="116" t="s">
        <v>124</v>
      </c>
      <c r="K41" s="8" t="str">
        <f t="shared" si="3"/>
        <v>Egito</v>
      </c>
      <c r="L41" s="9">
        <f t="shared" si="4"/>
        <v>2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4</v>
      </c>
      <c r="Q41" s="100"/>
      <c r="R41" s="52"/>
      <c r="S41" s="52"/>
      <c r="T41" s="52"/>
      <c r="U41" s="100"/>
    </row>
    <row r="42" spans="1:21" x14ac:dyDescent="0.3">
      <c r="A42" s="114">
        <v>46195</v>
      </c>
      <c r="B42" s="115">
        <v>0.58333333333333337</v>
      </c>
      <c r="C42" s="116" t="s">
        <v>9</v>
      </c>
      <c r="D42" s="117">
        <v>3</v>
      </c>
      <c r="E42" s="117" t="s">
        <v>1</v>
      </c>
      <c r="F42" s="117">
        <v>0</v>
      </c>
      <c r="G42" s="116" t="s">
        <v>130</v>
      </c>
      <c r="K42" s="8" t="str">
        <f t="shared" si="3"/>
        <v>Argentina</v>
      </c>
      <c r="L42" s="9">
        <f t="shared" si="4"/>
        <v>3</v>
      </c>
      <c r="M42" s="9">
        <f t="shared" si="5"/>
        <v>0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4</v>
      </c>
      <c r="Q42" s="100"/>
      <c r="R42" s="52"/>
      <c r="S42" s="52"/>
      <c r="T42" s="52"/>
      <c r="U42" s="100"/>
    </row>
    <row r="43" spans="1:21" x14ac:dyDescent="0.3">
      <c r="A43" s="114">
        <v>46195</v>
      </c>
      <c r="B43" s="115">
        <v>0.75</v>
      </c>
      <c r="C43" s="116" t="s">
        <v>7</v>
      </c>
      <c r="D43" s="117">
        <v>3</v>
      </c>
      <c r="E43" s="117" t="s">
        <v>1</v>
      </c>
      <c r="F43" s="117">
        <v>1</v>
      </c>
      <c r="G43" s="116" t="s">
        <v>127</v>
      </c>
      <c r="K43" s="8" t="str">
        <f t="shared" si="3"/>
        <v>França</v>
      </c>
      <c r="L43" s="9">
        <f t="shared" si="4"/>
        <v>3</v>
      </c>
      <c r="M43" s="9">
        <f t="shared" si="5"/>
        <v>1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6</v>
      </c>
      <c r="Q43" s="100"/>
      <c r="R43" s="52"/>
      <c r="S43" s="52"/>
      <c r="T43" s="52"/>
      <c r="U43" s="100"/>
    </row>
    <row r="44" spans="1:21" x14ac:dyDescent="0.3">
      <c r="A44" s="114">
        <v>46195</v>
      </c>
      <c r="B44" s="115">
        <v>0.875</v>
      </c>
      <c r="C44" s="116" t="s">
        <v>128</v>
      </c>
      <c r="D44" s="117">
        <v>2</v>
      </c>
      <c r="E44" s="117" t="s">
        <v>1</v>
      </c>
      <c r="F44" s="117">
        <v>1</v>
      </c>
      <c r="G44" s="116" t="s">
        <v>20</v>
      </c>
      <c r="K44" s="8" t="str">
        <f t="shared" si="3"/>
        <v>Noruega</v>
      </c>
      <c r="L44" s="9">
        <f t="shared" si="4"/>
        <v>2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100"/>
      <c r="R44" s="52"/>
      <c r="S44" s="52"/>
      <c r="T44" s="52"/>
      <c r="U44" s="100"/>
    </row>
    <row r="45" spans="1:21" x14ac:dyDescent="0.3">
      <c r="A45" s="114">
        <v>46196</v>
      </c>
      <c r="B45" s="115">
        <v>0</v>
      </c>
      <c r="C45" s="116" t="s">
        <v>131</v>
      </c>
      <c r="D45" s="117">
        <v>0</v>
      </c>
      <c r="E45" s="117" t="s">
        <v>1</v>
      </c>
      <c r="F45" s="117">
        <v>2</v>
      </c>
      <c r="G45" s="116" t="s">
        <v>129</v>
      </c>
      <c r="K45" s="8" t="str">
        <f t="shared" si="3"/>
        <v>Argélia</v>
      </c>
      <c r="L45" s="9">
        <f t="shared" si="4"/>
        <v>2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6</v>
      </c>
      <c r="Q45" s="100"/>
      <c r="R45" s="52"/>
      <c r="S45" s="52"/>
      <c r="T45" s="52"/>
      <c r="U45" s="100"/>
    </row>
    <row r="46" spans="1:21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0</v>
      </c>
      <c r="G46" s="116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52"/>
      <c r="S46" s="52"/>
      <c r="T46" s="52"/>
      <c r="U46" s="100"/>
    </row>
    <row r="47" spans="1:21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1</v>
      </c>
      <c r="G47" s="116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52"/>
      <c r="S47" s="52"/>
      <c r="T47" s="52"/>
      <c r="U47" s="100"/>
    </row>
    <row r="48" spans="1:21" x14ac:dyDescent="0.3">
      <c r="A48" s="114">
        <v>46196</v>
      </c>
      <c r="B48" s="115">
        <v>0.83333333333333337</v>
      </c>
      <c r="C48" s="116" t="s">
        <v>135</v>
      </c>
      <c r="D48" s="117">
        <v>1</v>
      </c>
      <c r="E48" s="117" t="s">
        <v>1</v>
      </c>
      <c r="F48" s="117">
        <v>2</v>
      </c>
      <c r="G48" s="116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52"/>
      <c r="S48" s="52"/>
      <c r="T48" s="52"/>
      <c r="U48" s="100"/>
    </row>
    <row r="49" spans="1:21" x14ac:dyDescent="0.3">
      <c r="A49" s="118">
        <v>46196</v>
      </c>
      <c r="B49" s="115">
        <v>0.95833333333333337</v>
      </c>
      <c r="C49" s="119" t="s">
        <v>134</v>
      </c>
      <c r="D49" s="120">
        <v>2</v>
      </c>
      <c r="E49" s="120" t="s">
        <v>1</v>
      </c>
      <c r="F49" s="120">
        <v>0</v>
      </c>
      <c r="G49" s="119" t="s">
        <v>132</v>
      </c>
      <c r="K49" s="8" t="str">
        <f t="shared" si="3"/>
        <v>Colômbia</v>
      </c>
      <c r="L49" s="9">
        <f t="shared" si="4"/>
        <v>2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52"/>
      <c r="S49" s="52"/>
      <c r="T49" s="52"/>
      <c r="U49" s="100"/>
    </row>
    <row r="50" spans="1:21" x14ac:dyDescent="0.3">
      <c r="A50" s="67">
        <v>46197</v>
      </c>
      <c r="B50" s="65">
        <v>0.66666666666666663</v>
      </c>
      <c r="C50" s="68" t="s">
        <v>74</v>
      </c>
      <c r="D50" s="69">
        <v>2</v>
      </c>
      <c r="E50" s="69" t="s">
        <v>1</v>
      </c>
      <c r="F50" s="69">
        <v>1</v>
      </c>
      <c r="G50" s="68" t="s">
        <v>110</v>
      </c>
      <c r="K50" s="8" t="str">
        <f t="shared" si="3"/>
        <v>Suíça</v>
      </c>
      <c r="L50" s="9">
        <f t="shared" si="4"/>
        <v>2</v>
      </c>
      <c r="M50" s="9">
        <f t="shared" si="5"/>
        <v>1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1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0</v>
      </c>
      <c r="G51" s="68" t="s">
        <v>99</v>
      </c>
      <c r="K51" s="8" t="str">
        <f t="shared" si="3"/>
        <v>Bósnia</v>
      </c>
      <c r="L51" s="9">
        <f t="shared" si="4"/>
        <v>2</v>
      </c>
      <c r="M51" s="9">
        <f t="shared" si="5"/>
        <v>0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1" x14ac:dyDescent="0.3">
      <c r="A52" s="67">
        <v>46197</v>
      </c>
      <c r="B52" s="65">
        <v>0.79166666666666663</v>
      </c>
      <c r="C52" s="70" t="s">
        <v>4</v>
      </c>
      <c r="D52" s="69">
        <v>3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3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1" x14ac:dyDescent="0.3">
      <c r="A53" s="67">
        <v>46197</v>
      </c>
      <c r="B53" s="65">
        <v>0.79166666666666663</v>
      </c>
      <c r="C53" s="70" t="s">
        <v>119</v>
      </c>
      <c r="D53" s="69">
        <v>0</v>
      </c>
      <c r="E53" s="69" t="s">
        <v>1</v>
      </c>
      <c r="F53" s="69">
        <v>2</v>
      </c>
      <c r="G53" s="70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0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1" x14ac:dyDescent="0.3">
      <c r="A54" s="64">
        <v>46197</v>
      </c>
      <c r="B54" s="65">
        <v>0.91666666666666663</v>
      </c>
      <c r="C54" s="66" t="s">
        <v>90</v>
      </c>
      <c r="D54" s="49">
        <v>1</v>
      </c>
      <c r="E54" s="49" t="s">
        <v>1</v>
      </c>
      <c r="F54" s="49">
        <v>2</v>
      </c>
      <c r="G54" s="66" t="s">
        <v>15</v>
      </c>
      <c r="K54" s="8" t="str">
        <f t="shared" si="3"/>
        <v>Coréia do Sul</v>
      </c>
      <c r="L54" s="9">
        <f t="shared" si="4"/>
        <v>2</v>
      </c>
      <c r="M54" s="9">
        <f t="shared" si="5"/>
        <v>1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1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2</v>
      </c>
      <c r="G55" s="66" t="s">
        <v>13</v>
      </c>
      <c r="K55" s="8" t="str">
        <f t="shared" si="3"/>
        <v>México</v>
      </c>
      <c r="L55" s="9">
        <f t="shared" si="4"/>
        <v>2</v>
      </c>
      <c r="M55" s="9">
        <f t="shared" si="5"/>
        <v>1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1" x14ac:dyDescent="0.3">
      <c r="A56" s="64">
        <v>46198</v>
      </c>
      <c r="B56" s="65">
        <v>0.70833333333333337</v>
      </c>
      <c r="C56" s="48" t="s">
        <v>107</v>
      </c>
      <c r="D56" s="49">
        <v>1</v>
      </c>
      <c r="E56" s="49" t="s">
        <v>1</v>
      </c>
      <c r="F56" s="49">
        <v>3</v>
      </c>
      <c r="G56" s="48" t="s">
        <v>12</v>
      </c>
      <c r="K56" s="8" t="str">
        <f t="shared" si="3"/>
        <v>Alemanha</v>
      </c>
      <c r="L56" s="9">
        <f t="shared" si="4"/>
        <v>3</v>
      </c>
      <c r="M56" s="9">
        <f t="shared" si="5"/>
        <v>1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1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2</v>
      </c>
      <c r="G57" s="48" t="s">
        <v>123</v>
      </c>
      <c r="K57" s="8" t="str">
        <f t="shared" si="3"/>
        <v>Costa do Marfim</v>
      </c>
      <c r="L57" s="9">
        <f t="shared" si="4"/>
        <v>2</v>
      </c>
      <c r="M57" s="9">
        <f t="shared" si="5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1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3</v>
      </c>
      <c r="G58" s="48" t="s">
        <v>80</v>
      </c>
      <c r="K58" s="8" t="str">
        <f t="shared" si="3"/>
        <v>Holanda</v>
      </c>
      <c r="L58" s="9">
        <f t="shared" si="4"/>
        <v>3</v>
      </c>
      <c r="M58" s="9">
        <f t="shared" si="5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1" x14ac:dyDescent="0.3">
      <c r="A59" s="64">
        <v>46198</v>
      </c>
      <c r="B59" s="65">
        <v>0.83333333333333337</v>
      </c>
      <c r="C59" s="48" t="s">
        <v>19</v>
      </c>
      <c r="D59" s="49">
        <v>1</v>
      </c>
      <c r="E59" s="49" t="s">
        <v>1</v>
      </c>
      <c r="F59" s="49">
        <v>1</v>
      </c>
      <c r="G59" s="48" t="s">
        <v>14</v>
      </c>
      <c r="K59" s="8" t="str">
        <f t="shared" si="3"/>
        <v>EMPATE</v>
      </c>
      <c r="L59" s="9">
        <f t="shared" si="4"/>
        <v>1</v>
      </c>
      <c r="M59" s="9">
        <f t="shared" si="5"/>
        <v>1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1" x14ac:dyDescent="0.3">
      <c r="A60" s="64">
        <v>46198</v>
      </c>
      <c r="B60" s="65">
        <v>0.95833333333333337</v>
      </c>
      <c r="C60" s="48" t="s">
        <v>121</v>
      </c>
      <c r="D60" s="49">
        <v>1</v>
      </c>
      <c r="E60" s="49" t="s">
        <v>1</v>
      </c>
      <c r="F60" s="49">
        <v>2</v>
      </c>
      <c r="G60" s="48" t="s">
        <v>109</v>
      </c>
      <c r="K60" s="8" t="str">
        <f t="shared" si="3"/>
        <v>Estados Unidos</v>
      </c>
      <c r="L60" s="9">
        <f t="shared" si="4"/>
        <v>2</v>
      </c>
      <c r="M60" s="9">
        <f t="shared" si="5"/>
        <v>1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1" x14ac:dyDescent="0.3">
      <c r="A61" s="64">
        <v>46198</v>
      </c>
      <c r="B61" s="65">
        <v>0.95833333333333337</v>
      </c>
      <c r="C61" s="48" t="s">
        <v>120</v>
      </c>
      <c r="D61" s="49">
        <v>2</v>
      </c>
      <c r="E61" s="49" t="s">
        <v>1</v>
      </c>
      <c r="F61" s="49">
        <v>1</v>
      </c>
      <c r="G61" s="48" t="s">
        <v>8</v>
      </c>
      <c r="K61" s="8" t="str">
        <f t="shared" si="3"/>
        <v>Paraguai</v>
      </c>
      <c r="L61" s="9">
        <f t="shared" si="4"/>
        <v>2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1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0</v>
      </c>
      <c r="G62" s="48" t="s">
        <v>127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1" x14ac:dyDescent="0.3">
      <c r="A63" s="64">
        <v>46199</v>
      </c>
      <c r="B63" s="65">
        <v>0.66666666666666663</v>
      </c>
      <c r="C63" s="48" t="s">
        <v>128</v>
      </c>
      <c r="D63" s="49">
        <v>1</v>
      </c>
      <c r="E63" s="49" t="s">
        <v>1</v>
      </c>
      <c r="F63" s="49">
        <v>2</v>
      </c>
      <c r="G63" s="48" t="s">
        <v>7</v>
      </c>
      <c r="K63" s="8" t="str">
        <f t="shared" si="3"/>
        <v>França</v>
      </c>
      <c r="L63" s="9">
        <f t="shared" si="4"/>
        <v>2</v>
      </c>
      <c r="M63" s="9">
        <f t="shared" si="5"/>
        <v>1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1" x14ac:dyDescent="0.3">
      <c r="A64" s="64">
        <v>46199</v>
      </c>
      <c r="B64" s="65">
        <v>0.875</v>
      </c>
      <c r="C64" s="48" t="s">
        <v>126</v>
      </c>
      <c r="D64" s="49">
        <v>1</v>
      </c>
      <c r="E64" s="49" t="s">
        <v>1</v>
      </c>
      <c r="F64" s="49">
        <v>1</v>
      </c>
      <c r="G64" s="48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2</v>
      </c>
      <c r="G65" s="48" t="s">
        <v>6</v>
      </c>
      <c r="K65" s="8" t="str">
        <f t="shared" si="3"/>
        <v>Espanha</v>
      </c>
      <c r="L65" s="9">
        <f t="shared" si="4"/>
        <v>2</v>
      </c>
      <c r="M65" s="9">
        <f t="shared" si="5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1</v>
      </c>
      <c r="E66" s="49" t="s">
        <v>1</v>
      </c>
      <c r="F66" s="49">
        <v>0</v>
      </c>
      <c r="G66" s="48" t="s">
        <v>108</v>
      </c>
      <c r="K66" s="8" t="str">
        <f t="shared" si="3"/>
        <v>Egito</v>
      </c>
      <c r="L66" s="9">
        <f t="shared" si="4"/>
        <v>1</v>
      </c>
      <c r="M66" s="9">
        <f t="shared" si="5"/>
        <v>0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0</v>
      </c>
      <c r="E67" s="49" t="s">
        <v>1</v>
      </c>
      <c r="F67" s="49">
        <v>3</v>
      </c>
      <c r="G67" s="48" t="s">
        <v>16</v>
      </c>
      <c r="K67" s="8" t="str">
        <f t="shared" si="3"/>
        <v>Bélgica</v>
      </c>
      <c r="L67" s="9">
        <f t="shared" si="4"/>
        <v>3</v>
      </c>
      <c r="M67" s="9">
        <f t="shared" si="5"/>
        <v>0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2</v>
      </c>
      <c r="E68" s="49" t="s">
        <v>1</v>
      </c>
      <c r="F68" s="49">
        <v>1</v>
      </c>
      <c r="G68" s="48" t="s">
        <v>111</v>
      </c>
      <c r="K68" s="8" t="str">
        <f t="shared" ref="K68:K70" si="7">IF(D68="","",IF(D68&gt;F68,C68,IF(F68&gt;D68,G68,"EMPATE")))</f>
        <v>Croácia</v>
      </c>
      <c r="L68" s="9">
        <f t="shared" ref="L68:L70" si="8">IF(D68="","",IF(D68&gt;F68,D68,IF(F68&gt;D68,F68,D68)))</f>
        <v>2</v>
      </c>
      <c r="M68" s="9">
        <f t="shared" ref="M68:M70" si="9">IF(D68="","",IF(D68&lt;F68,D68,IF(F68&lt;D68,F68,D68)))</f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2</v>
      </c>
      <c r="G69" s="48" t="s">
        <v>18</v>
      </c>
      <c r="K69" s="8" t="str">
        <f t="shared" si="7"/>
        <v>Inglaterra</v>
      </c>
      <c r="L69" s="9">
        <f t="shared" si="8"/>
        <v>2</v>
      </c>
      <c r="M69" s="9">
        <f t="shared" si="9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2</v>
      </c>
      <c r="G70" s="48" t="s">
        <v>133</v>
      </c>
      <c r="K70" s="8" t="str">
        <f t="shared" si="7"/>
        <v>Uzbequistão</v>
      </c>
      <c r="L70" s="9">
        <f t="shared" si="8"/>
        <v>2</v>
      </c>
      <c r="M70" s="9">
        <f t="shared" si="9"/>
        <v>1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1</v>
      </c>
      <c r="G71" s="48" t="s">
        <v>5</v>
      </c>
      <c r="K71" s="8" t="str">
        <f t="shared" ref="K71:K105" si="10">IF(D71="","",IF(D71&gt;F71,C71,IF(F71&gt;D71,G71,"EMPATE")))</f>
        <v>EMPATE</v>
      </c>
      <c r="L71" s="9">
        <f t="shared" ref="L71:L105" si="11">IF(D71="","",IF(D71&gt;F71,D71,IF(F71&gt;D71,F71,D71)))</f>
        <v>1</v>
      </c>
      <c r="M71" s="9">
        <f t="shared" ref="M71:M105" si="12">IF(D71="","",IF(D71&lt;F71,D71,IF(F71&lt;D71,F71,D71)))</f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3</v>
      </c>
      <c r="G72" s="48" t="s">
        <v>9</v>
      </c>
      <c r="K72" s="8" t="str">
        <f t="shared" si="10"/>
        <v>Argentina</v>
      </c>
      <c r="L72" s="9">
        <f t="shared" si="11"/>
        <v>3</v>
      </c>
      <c r="M72" s="9">
        <f t="shared" si="12"/>
        <v>0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2</v>
      </c>
      <c r="G73" s="48" t="s">
        <v>130</v>
      </c>
      <c r="K73" s="8" t="str">
        <f t="shared" si="10"/>
        <v>Áustria</v>
      </c>
      <c r="L73" s="9">
        <f t="shared" si="11"/>
        <v>2</v>
      </c>
      <c r="M73" s="9">
        <f t="shared" si="12"/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637-CDA9-4757-A752-1778687B7EAB}">
  <dimension ref="A1:U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29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3">
      <c r="A2" s="64">
        <v>46184</v>
      </c>
      <c r="B2" s="65">
        <v>0.66666666666666663</v>
      </c>
      <c r="C2" s="66" t="s">
        <v>13</v>
      </c>
      <c r="D2" s="49">
        <v>1</v>
      </c>
      <c r="E2" s="49" t="s">
        <v>1</v>
      </c>
      <c r="F2" s="49">
        <v>1</v>
      </c>
      <c r="G2" s="66" t="s">
        <v>90</v>
      </c>
      <c r="H2" s="155"/>
      <c r="I2" s="149"/>
      <c r="J2" s="156"/>
      <c r="K2" s="8" t="str">
        <f t="shared" ref="K2:K3" si="0">IF(D2="","",IF(D2&gt;F2,C2,IF(F2&gt;D2,G2,"EMPATE")))</f>
        <v>EMPATE</v>
      </c>
      <c r="L2" s="9">
        <f t="shared" ref="L2:L3" si="1">IF(D2="","",IF(D2&gt;F2,D2,IF(F2&gt;D2,F2,D2)))</f>
        <v>1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0</v>
      </c>
    </row>
    <row r="3" spans="1:15" ht="15.75" customHeight="1" x14ac:dyDescent="0.3">
      <c r="A3" s="64">
        <v>46184</v>
      </c>
      <c r="B3" s="65">
        <v>0.95833333333333337</v>
      </c>
      <c r="C3" s="66" t="s">
        <v>15</v>
      </c>
      <c r="D3" s="49">
        <v>0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República Tcheca</v>
      </c>
      <c r="L3" s="9">
        <f t="shared" si="1"/>
        <v>1</v>
      </c>
      <c r="M3" s="9">
        <f t="shared" si="2"/>
        <v>0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64">
        <v>46185</v>
      </c>
      <c r="B4" s="65">
        <v>0.66666666666666663</v>
      </c>
      <c r="C4" s="66" t="s">
        <v>110</v>
      </c>
      <c r="D4" s="49">
        <v>1</v>
      </c>
      <c r="E4" s="49" t="s">
        <v>1</v>
      </c>
      <c r="F4" s="49">
        <v>0</v>
      </c>
      <c r="G4" s="66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1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64">
        <v>46185</v>
      </c>
      <c r="B5" s="65">
        <v>0.91666666666666663</v>
      </c>
      <c r="C5" s="66" t="s">
        <v>109</v>
      </c>
      <c r="D5" s="49">
        <v>1</v>
      </c>
      <c r="E5" s="49" t="s">
        <v>1</v>
      </c>
      <c r="F5" s="49">
        <v>2</v>
      </c>
      <c r="G5" s="66" t="s">
        <v>120</v>
      </c>
      <c r="I5" s="18"/>
      <c r="K5" s="8" t="str">
        <f t="shared" si="3"/>
        <v>Paraguai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</row>
    <row r="6" spans="1:15" ht="15.75" customHeight="1" x14ac:dyDescent="0.3">
      <c r="A6" s="64">
        <v>46186</v>
      </c>
      <c r="B6" s="65">
        <v>0.66666666666666663</v>
      </c>
      <c r="C6" s="66" t="s">
        <v>99</v>
      </c>
      <c r="D6" s="49">
        <v>0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1</v>
      </c>
      <c r="J7" s="15">
        <f>H7*I7</f>
        <v>9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64">
        <v>46186</v>
      </c>
      <c r="B8" s="65">
        <v>0.91666666666666663</v>
      </c>
      <c r="C8" s="66" t="s">
        <v>118</v>
      </c>
      <c r="D8" s="49">
        <v>2</v>
      </c>
      <c r="E8" s="49" t="s">
        <v>1</v>
      </c>
      <c r="F8" s="49">
        <v>0</v>
      </c>
      <c r="G8" s="66" t="s">
        <v>119</v>
      </c>
      <c r="H8" s="15">
        <v>6</v>
      </c>
      <c r="I8" s="15">
        <f>COUNTIF($O$2:$O$65,6)</f>
        <v>4</v>
      </c>
      <c r="J8" s="15">
        <f t="shared" ref="J8:J11" si="6">H8*I8</f>
        <v>24</v>
      </c>
      <c r="K8" s="8" t="str">
        <f t="shared" si="3"/>
        <v>Haiti</v>
      </c>
      <c r="L8" s="9">
        <f t="shared" si="4"/>
        <v>2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</row>
    <row r="9" spans="1:15" ht="15.75" customHeight="1" x14ac:dyDescent="0.3">
      <c r="A9" s="64">
        <v>46187</v>
      </c>
      <c r="B9" s="65">
        <v>4.1666666666666664E-2</v>
      </c>
      <c r="C9" s="66" t="s">
        <v>8</v>
      </c>
      <c r="D9" s="49">
        <v>0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8</v>
      </c>
      <c r="J9" s="15">
        <f t="shared" si="6"/>
        <v>32</v>
      </c>
      <c r="K9" s="8" t="str">
        <f t="shared" si="3"/>
        <v>Turquia</v>
      </c>
      <c r="L9" s="9">
        <f t="shared" si="4"/>
        <v>2</v>
      </c>
      <c r="M9" s="9">
        <f t="shared" si="5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64">
        <v>46187</v>
      </c>
      <c r="B10" s="65">
        <v>0.58333333333333337</v>
      </c>
      <c r="C10" s="66" t="s">
        <v>12</v>
      </c>
      <c r="D10" s="49">
        <v>8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6</v>
      </c>
      <c r="J10" s="15">
        <f t="shared" si="6"/>
        <v>18</v>
      </c>
      <c r="K10" s="8" t="str">
        <f t="shared" si="3"/>
        <v>Alemanha</v>
      </c>
      <c r="L10" s="9">
        <f t="shared" si="4"/>
        <v>8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64">
        <v>46187</v>
      </c>
      <c r="B11" s="65">
        <v>0.70833333333333337</v>
      </c>
      <c r="C11" s="66" t="s">
        <v>80</v>
      </c>
      <c r="D11" s="49">
        <v>3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25</v>
      </c>
      <c r="J11" s="15">
        <f t="shared" si="6"/>
        <v>0</v>
      </c>
      <c r="K11" s="8" t="str">
        <f t="shared" si="3"/>
        <v>Holanda</v>
      </c>
      <c r="L11" s="9">
        <f t="shared" si="4"/>
        <v>3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2</v>
      </c>
      <c r="G12" s="66" t="s">
        <v>107</v>
      </c>
      <c r="H12" s="15"/>
      <c r="I12" s="16" t="s">
        <v>48</v>
      </c>
      <c r="J12" s="17">
        <f>SUM(J7:J11)</f>
        <v>83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64">
        <v>46187</v>
      </c>
      <c r="B13" s="65">
        <v>0.95833333333333337</v>
      </c>
      <c r="C13" s="66" t="s">
        <v>14</v>
      </c>
      <c r="D13" s="49">
        <v>1</v>
      </c>
      <c r="E13" s="49" t="s">
        <v>1</v>
      </c>
      <c r="F13" s="49">
        <v>1</v>
      </c>
      <c r="G13" s="66" t="s">
        <v>17</v>
      </c>
      <c r="K13" s="8" t="str">
        <f t="shared" si="3"/>
        <v>EMPATE</v>
      </c>
      <c r="L13" s="9">
        <f t="shared" si="4"/>
        <v>1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0</v>
      </c>
    </row>
    <row r="14" spans="1:15" x14ac:dyDescent="0.3">
      <c r="A14" s="64">
        <v>46188</v>
      </c>
      <c r="B14" s="65">
        <v>0.54166666666666663</v>
      </c>
      <c r="C14" s="66" t="s">
        <v>6</v>
      </c>
      <c r="D14" s="49">
        <v>6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6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64">
        <v>46188</v>
      </c>
      <c r="B15" s="65">
        <v>0.66666666666666663</v>
      </c>
      <c r="C15" s="66" t="s">
        <v>16</v>
      </c>
      <c r="D15" s="49">
        <v>2</v>
      </c>
      <c r="E15" s="49" t="s">
        <v>1</v>
      </c>
      <c r="F15" s="49">
        <v>1</v>
      </c>
      <c r="G15" s="66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64">
        <v>46188</v>
      </c>
      <c r="B16" s="65">
        <v>0.79166666666666663</v>
      </c>
      <c r="C16" s="66" t="s">
        <v>2</v>
      </c>
      <c r="D16" s="49">
        <v>0</v>
      </c>
      <c r="E16" s="49" t="s">
        <v>1</v>
      </c>
      <c r="F16" s="49">
        <v>2</v>
      </c>
      <c r="G16" s="66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64">
        <v>46188</v>
      </c>
      <c r="B17" s="65">
        <v>0.91666666666666663</v>
      </c>
      <c r="C17" s="66" t="s">
        <v>108</v>
      </c>
      <c r="D17" s="49">
        <v>0</v>
      </c>
      <c r="E17" s="49" t="s">
        <v>1</v>
      </c>
      <c r="F17" s="49">
        <v>0</v>
      </c>
      <c r="G17" s="66" t="s">
        <v>125</v>
      </c>
      <c r="K17" s="8" t="str">
        <f t="shared" si="3"/>
        <v>EMPATE</v>
      </c>
      <c r="L17" s="9">
        <f t="shared" si="4"/>
        <v>0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</row>
    <row r="18" spans="1:21" x14ac:dyDescent="0.3">
      <c r="A18" s="64">
        <v>46189</v>
      </c>
      <c r="B18" s="65">
        <v>0.66666666666666663</v>
      </c>
      <c r="C18" s="66" t="s">
        <v>7</v>
      </c>
      <c r="D18" s="49">
        <v>4</v>
      </c>
      <c r="E18" s="49" t="s">
        <v>1</v>
      </c>
      <c r="F18" s="49">
        <v>1</v>
      </c>
      <c r="G18" s="66" t="s">
        <v>20</v>
      </c>
      <c r="K18" s="8" t="str">
        <f t="shared" si="3"/>
        <v>França</v>
      </c>
      <c r="L18" s="9">
        <f t="shared" si="4"/>
        <v>4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1" x14ac:dyDescent="0.3">
      <c r="A19" s="64">
        <v>46189</v>
      </c>
      <c r="B19" s="65">
        <v>0.79166666666666663</v>
      </c>
      <c r="C19" s="66" t="s">
        <v>127</v>
      </c>
      <c r="D19" s="49">
        <v>0</v>
      </c>
      <c r="E19" s="49" t="s">
        <v>1</v>
      </c>
      <c r="F19" s="49">
        <v>3</v>
      </c>
      <c r="G19" s="66" t="s">
        <v>128</v>
      </c>
      <c r="K19" s="8" t="str">
        <f t="shared" si="3"/>
        <v>Noruega</v>
      </c>
      <c r="L19" s="9">
        <f t="shared" si="4"/>
        <v>3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3">
      <c r="A20" s="64">
        <v>46189</v>
      </c>
      <c r="B20" s="65">
        <v>0.91666666666666663</v>
      </c>
      <c r="C20" s="66" t="s">
        <v>9</v>
      </c>
      <c r="D20" s="49">
        <v>2</v>
      </c>
      <c r="E20" s="49" t="s">
        <v>1</v>
      </c>
      <c r="F20" s="49">
        <v>1</v>
      </c>
      <c r="G20" s="66" t="s">
        <v>129</v>
      </c>
      <c r="K20" s="8" t="str">
        <f t="shared" si="3"/>
        <v>Argentina</v>
      </c>
      <c r="L20" s="9">
        <f t="shared" si="4"/>
        <v>2</v>
      </c>
      <c r="M20" s="9">
        <f t="shared" si="5"/>
        <v>1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3</v>
      </c>
    </row>
    <row r="21" spans="1:21" x14ac:dyDescent="0.3">
      <c r="A21" s="64">
        <v>46190</v>
      </c>
      <c r="B21" s="65">
        <v>4.1666666666666664E-2</v>
      </c>
      <c r="C21" s="66" t="s">
        <v>130</v>
      </c>
      <c r="D21" s="49">
        <v>1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64">
        <v>46190</v>
      </c>
      <c r="B22" s="65">
        <v>0.58333333333333337</v>
      </c>
      <c r="C22" s="66" t="s">
        <v>5</v>
      </c>
      <c r="D22" s="49">
        <v>4</v>
      </c>
      <c r="E22" s="49" t="s">
        <v>1</v>
      </c>
      <c r="F22" s="49">
        <v>0</v>
      </c>
      <c r="G22" s="66" t="s">
        <v>132</v>
      </c>
      <c r="K22" s="8" t="str">
        <f t="shared" si="3"/>
        <v>Portugal</v>
      </c>
      <c r="L22" s="9">
        <f t="shared" si="4"/>
        <v>4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64">
        <v>46190</v>
      </c>
      <c r="B23" s="65">
        <v>0.70833333333333337</v>
      </c>
      <c r="C23" s="66" t="s">
        <v>18</v>
      </c>
      <c r="D23" s="49">
        <v>3</v>
      </c>
      <c r="E23" s="49" t="s">
        <v>1</v>
      </c>
      <c r="F23" s="49">
        <v>2</v>
      </c>
      <c r="G23" s="66" t="s">
        <v>10</v>
      </c>
      <c r="K23" s="8" t="str">
        <f t="shared" si="3"/>
        <v>Inglaterra</v>
      </c>
      <c r="L23" s="9">
        <f t="shared" si="4"/>
        <v>3</v>
      </c>
      <c r="M23" s="9">
        <f t="shared" si="5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4</v>
      </c>
    </row>
    <row r="24" spans="1:21" x14ac:dyDescent="0.3">
      <c r="A24" s="64">
        <v>46190</v>
      </c>
      <c r="B24" s="65">
        <v>0.83333333333333337</v>
      </c>
      <c r="C24" s="66" t="s">
        <v>111</v>
      </c>
      <c r="D24" s="49">
        <v>3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64">
        <v>46190</v>
      </c>
      <c r="B25" s="65">
        <v>0.95833333333333337</v>
      </c>
      <c r="C25" s="66" t="s">
        <v>133</v>
      </c>
      <c r="D25" s="49">
        <v>0</v>
      </c>
      <c r="E25" s="49" t="s">
        <v>1</v>
      </c>
      <c r="F25" s="49">
        <v>3</v>
      </c>
      <c r="G25" s="66" t="s">
        <v>134</v>
      </c>
      <c r="K25" s="8" t="str">
        <f t="shared" si="3"/>
        <v>Colômbia</v>
      </c>
      <c r="L25" s="9">
        <f t="shared" si="4"/>
        <v>3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6</v>
      </c>
    </row>
    <row r="26" spans="1:21" x14ac:dyDescent="0.3">
      <c r="A26" s="114">
        <v>46191</v>
      </c>
      <c r="B26" s="115">
        <v>0.54166666666666663</v>
      </c>
      <c r="C26" s="116" t="s">
        <v>116</v>
      </c>
      <c r="D26" s="117">
        <v>1</v>
      </c>
      <c r="E26" s="117" t="s">
        <v>1</v>
      </c>
      <c r="F26" s="117">
        <v>0</v>
      </c>
      <c r="G26" s="116" t="s">
        <v>90</v>
      </c>
      <c r="K26" s="8" t="str">
        <f t="shared" si="3"/>
        <v>República Tcheca</v>
      </c>
      <c r="L26" s="9">
        <f t="shared" si="4"/>
        <v>1</v>
      </c>
      <c r="M26" s="9">
        <f t="shared" si="5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100"/>
      <c r="R26" s="52"/>
      <c r="S26" s="52"/>
      <c r="T26" s="52"/>
      <c r="U26" s="100"/>
    </row>
    <row r="27" spans="1:21" x14ac:dyDescent="0.3">
      <c r="A27" s="114">
        <v>46191</v>
      </c>
      <c r="B27" s="115">
        <v>0.66666666666666663</v>
      </c>
      <c r="C27" s="116" t="s">
        <v>74</v>
      </c>
      <c r="D27" s="117">
        <v>1</v>
      </c>
      <c r="E27" s="117" t="s">
        <v>1</v>
      </c>
      <c r="F27" s="117">
        <v>1</v>
      </c>
      <c r="G27" s="116" t="s">
        <v>117</v>
      </c>
      <c r="K27" s="8" t="str">
        <f t="shared" si="3"/>
        <v>EMPATE</v>
      </c>
      <c r="L27" s="9">
        <f t="shared" si="4"/>
        <v>1</v>
      </c>
      <c r="M27" s="9">
        <f t="shared" si="5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100"/>
      <c r="R27" s="52"/>
      <c r="S27" s="52"/>
      <c r="T27" s="52"/>
      <c r="U27" s="100"/>
    </row>
    <row r="28" spans="1:21" x14ac:dyDescent="0.3">
      <c r="A28" s="114">
        <v>46191</v>
      </c>
      <c r="B28" s="115">
        <v>0.79166666666666663</v>
      </c>
      <c r="C28" s="116" t="s">
        <v>110</v>
      </c>
      <c r="D28" s="117">
        <v>1</v>
      </c>
      <c r="E28" s="117" t="s">
        <v>1</v>
      </c>
      <c r="F28" s="117">
        <v>0</v>
      </c>
      <c r="G28" s="116" t="s">
        <v>99</v>
      </c>
      <c r="K28" s="8" t="str">
        <f t="shared" si="3"/>
        <v>Canadá</v>
      </c>
      <c r="L28" s="9">
        <f t="shared" si="4"/>
        <v>1</v>
      </c>
      <c r="M28" s="9">
        <f t="shared" si="5"/>
        <v>0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4</v>
      </c>
      <c r="Q28" s="100"/>
      <c r="R28" s="52"/>
      <c r="S28" s="52"/>
      <c r="T28" s="52"/>
      <c r="U28" s="100"/>
    </row>
    <row r="29" spans="1:21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2</v>
      </c>
      <c r="G29" s="116" t="s">
        <v>15</v>
      </c>
      <c r="K29" s="8" t="str">
        <f t="shared" si="3"/>
        <v>EMPATE</v>
      </c>
      <c r="L29" s="9">
        <f t="shared" si="4"/>
        <v>2</v>
      </c>
      <c r="M29" s="9">
        <f t="shared" si="5"/>
        <v>2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100"/>
      <c r="R29" s="52"/>
      <c r="S29" s="52"/>
      <c r="T29" s="52"/>
      <c r="U29" s="100"/>
    </row>
    <row r="30" spans="1:21" x14ac:dyDescent="0.3">
      <c r="A30" s="114">
        <v>46192</v>
      </c>
      <c r="B30" s="115">
        <v>0.66666666666666663</v>
      </c>
      <c r="C30" s="116" t="s">
        <v>109</v>
      </c>
      <c r="D30" s="117">
        <v>2</v>
      </c>
      <c r="E30" s="117" t="s">
        <v>1</v>
      </c>
      <c r="F30" s="117">
        <v>1</v>
      </c>
      <c r="G30" s="116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Q30" s="100"/>
      <c r="R30" s="52"/>
      <c r="S30" s="52"/>
      <c r="T30" s="52"/>
      <c r="U30" s="100"/>
    </row>
    <row r="31" spans="1:21" x14ac:dyDescent="0.3">
      <c r="A31" s="114">
        <v>46192</v>
      </c>
      <c r="B31" s="115">
        <v>0.79166666666666663</v>
      </c>
      <c r="C31" s="116" t="s">
        <v>119</v>
      </c>
      <c r="D31" s="117">
        <v>0</v>
      </c>
      <c r="E31" s="117" t="s">
        <v>1</v>
      </c>
      <c r="F31" s="117">
        <v>2</v>
      </c>
      <c r="G31" s="116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0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4</v>
      </c>
      <c r="Q31" s="100"/>
      <c r="R31" s="52"/>
      <c r="S31" s="52"/>
      <c r="T31" s="52"/>
      <c r="U31" s="100"/>
    </row>
    <row r="32" spans="1:21" x14ac:dyDescent="0.3">
      <c r="A32" s="114">
        <v>46192</v>
      </c>
      <c r="B32" s="115">
        <v>0.89583333333333337</v>
      </c>
      <c r="C32" s="116" t="s">
        <v>11</v>
      </c>
      <c r="D32" s="117">
        <v>3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4"/>
        <v>3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100"/>
      <c r="R32" s="52"/>
      <c r="S32" s="52"/>
      <c r="T32" s="52"/>
      <c r="U32" s="100"/>
    </row>
    <row r="33" spans="1:21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1</v>
      </c>
      <c r="G33" s="116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100"/>
      <c r="R33" s="52"/>
      <c r="S33" s="52"/>
      <c r="T33" s="52"/>
      <c r="U33" s="100"/>
    </row>
    <row r="34" spans="1:21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3</v>
      </c>
      <c r="G34" s="116" t="s">
        <v>14</v>
      </c>
      <c r="K34" s="8" t="str">
        <f t="shared" si="3"/>
        <v>Suécia</v>
      </c>
      <c r="L34" s="9">
        <f t="shared" si="4"/>
        <v>3</v>
      </c>
      <c r="M34" s="9">
        <f t="shared" si="5"/>
        <v>2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100"/>
      <c r="R34" s="52"/>
      <c r="S34" s="52"/>
      <c r="T34" s="52"/>
      <c r="U34" s="100"/>
    </row>
    <row r="35" spans="1:21" x14ac:dyDescent="0.3">
      <c r="A35" s="114">
        <v>46193</v>
      </c>
      <c r="B35" s="115">
        <v>0.70833333333333337</v>
      </c>
      <c r="C35" s="116" t="s">
        <v>12</v>
      </c>
      <c r="D35" s="117">
        <v>1</v>
      </c>
      <c r="E35" s="117" t="s">
        <v>1</v>
      </c>
      <c r="F35" s="117">
        <v>1</v>
      </c>
      <c r="G35" s="116" t="s">
        <v>123</v>
      </c>
      <c r="K35" s="8" t="str">
        <f t="shared" si="3"/>
        <v>EMPATE</v>
      </c>
      <c r="L35" s="9">
        <f t="shared" si="4"/>
        <v>1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0</v>
      </c>
      <c r="Q35" s="100"/>
      <c r="R35" s="52"/>
      <c r="S35" s="52"/>
      <c r="T35" s="52"/>
      <c r="U35" s="100"/>
    </row>
    <row r="36" spans="1:21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0</v>
      </c>
      <c r="G36" s="116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52"/>
      <c r="S36" s="52"/>
      <c r="T36" s="52"/>
      <c r="U36" s="100"/>
    </row>
    <row r="37" spans="1:21" x14ac:dyDescent="0.3">
      <c r="A37" s="114">
        <v>46194</v>
      </c>
      <c r="B37" s="115">
        <v>4.1666666666666664E-2</v>
      </c>
      <c r="C37" s="116" t="s">
        <v>17</v>
      </c>
      <c r="D37" s="117">
        <v>0</v>
      </c>
      <c r="E37" s="117" t="s">
        <v>1</v>
      </c>
      <c r="F37" s="117">
        <v>2</v>
      </c>
      <c r="G37" s="116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0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Q37" s="100"/>
      <c r="R37" s="52"/>
      <c r="S37" s="52"/>
      <c r="T37" s="52"/>
      <c r="U37" s="100"/>
    </row>
    <row r="38" spans="1:21" x14ac:dyDescent="0.3">
      <c r="A38" s="114">
        <v>46194</v>
      </c>
      <c r="B38" s="115">
        <v>0.54166666666666663</v>
      </c>
      <c r="C38" s="116" t="s">
        <v>6</v>
      </c>
      <c r="D38" s="117">
        <v>2</v>
      </c>
      <c r="E38" s="117" t="s">
        <v>1</v>
      </c>
      <c r="F38" s="117">
        <v>0</v>
      </c>
      <c r="G38" s="116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100"/>
      <c r="R38" s="52"/>
      <c r="S38" s="52"/>
      <c r="T38" s="52"/>
      <c r="U38" s="100"/>
    </row>
    <row r="39" spans="1:21" x14ac:dyDescent="0.3">
      <c r="A39" s="114">
        <v>46194</v>
      </c>
      <c r="B39" s="115">
        <v>0.66666666666666663</v>
      </c>
      <c r="C39" s="116" t="s">
        <v>16</v>
      </c>
      <c r="D39" s="117">
        <v>2</v>
      </c>
      <c r="E39" s="117" t="s">
        <v>1</v>
      </c>
      <c r="F39" s="117">
        <v>1</v>
      </c>
      <c r="G39" s="116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100"/>
      <c r="R39" s="52"/>
      <c r="S39" s="52"/>
      <c r="T39" s="52"/>
      <c r="U39" s="100"/>
    </row>
    <row r="40" spans="1:21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52"/>
      <c r="S40" s="52"/>
      <c r="T40" s="52"/>
      <c r="U40" s="100"/>
    </row>
    <row r="41" spans="1:21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2</v>
      </c>
      <c r="G41" s="116" t="s">
        <v>124</v>
      </c>
      <c r="K41" s="8" t="str">
        <f t="shared" si="3"/>
        <v>Egito</v>
      </c>
      <c r="L41" s="9">
        <f t="shared" si="4"/>
        <v>2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4</v>
      </c>
      <c r="Q41" s="100"/>
      <c r="R41" s="52"/>
      <c r="S41" s="52"/>
      <c r="T41" s="52"/>
      <c r="U41" s="100"/>
    </row>
    <row r="42" spans="1:21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1</v>
      </c>
      <c r="G42" s="116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100"/>
      <c r="R42" s="52"/>
      <c r="S42" s="52"/>
      <c r="T42" s="52"/>
      <c r="U42" s="100"/>
    </row>
    <row r="43" spans="1:21" x14ac:dyDescent="0.3">
      <c r="A43" s="114">
        <v>46195</v>
      </c>
      <c r="B43" s="115">
        <v>0.75</v>
      </c>
      <c r="C43" s="116" t="s">
        <v>7</v>
      </c>
      <c r="D43" s="117">
        <v>5</v>
      </c>
      <c r="E43" s="117" t="s">
        <v>1</v>
      </c>
      <c r="F43" s="117">
        <v>0</v>
      </c>
      <c r="G43" s="116" t="s">
        <v>127</v>
      </c>
      <c r="K43" s="8" t="str">
        <f t="shared" si="3"/>
        <v>França</v>
      </c>
      <c r="L43" s="9">
        <f t="shared" si="4"/>
        <v>5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Q43" s="100"/>
      <c r="R43" s="52"/>
      <c r="S43" s="52"/>
      <c r="T43" s="52"/>
      <c r="U43" s="100"/>
    </row>
    <row r="44" spans="1:21" x14ac:dyDescent="0.3">
      <c r="A44" s="114">
        <v>46195</v>
      </c>
      <c r="B44" s="115">
        <v>0.875</v>
      </c>
      <c r="C44" s="116" t="s">
        <v>128</v>
      </c>
      <c r="D44" s="117">
        <v>2</v>
      </c>
      <c r="E44" s="117" t="s">
        <v>1</v>
      </c>
      <c r="F44" s="117">
        <v>2</v>
      </c>
      <c r="G44" s="116" t="s">
        <v>20</v>
      </c>
      <c r="K44" s="8" t="str">
        <f t="shared" si="3"/>
        <v>EMPATE</v>
      </c>
      <c r="L44" s="9">
        <f t="shared" si="4"/>
        <v>2</v>
      </c>
      <c r="M44" s="9">
        <f t="shared" si="5"/>
        <v>2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Q44" s="100"/>
      <c r="R44" s="52"/>
      <c r="S44" s="52"/>
      <c r="T44" s="52"/>
      <c r="U44" s="100"/>
    </row>
    <row r="45" spans="1:21" x14ac:dyDescent="0.3">
      <c r="A45" s="114">
        <v>46196</v>
      </c>
      <c r="B45" s="115">
        <v>0</v>
      </c>
      <c r="C45" s="116" t="s">
        <v>131</v>
      </c>
      <c r="D45" s="117">
        <v>0</v>
      </c>
      <c r="E45" s="117" t="s">
        <v>1</v>
      </c>
      <c r="F45" s="117">
        <v>1</v>
      </c>
      <c r="G45" s="116" t="s">
        <v>129</v>
      </c>
      <c r="K45" s="8" t="str">
        <f t="shared" si="3"/>
        <v>Argélia</v>
      </c>
      <c r="L45" s="9">
        <f t="shared" si="4"/>
        <v>1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3</v>
      </c>
      <c r="Q45" s="100"/>
      <c r="R45" s="52"/>
      <c r="S45" s="52"/>
      <c r="T45" s="52"/>
      <c r="U45" s="100"/>
    </row>
    <row r="46" spans="1:21" ht="15" customHeight="1" x14ac:dyDescent="0.3">
      <c r="A46" s="114">
        <v>46196</v>
      </c>
      <c r="B46" s="115">
        <v>0.58333333333333337</v>
      </c>
      <c r="C46" s="116" t="s">
        <v>5</v>
      </c>
      <c r="D46" s="117">
        <v>2</v>
      </c>
      <c r="E46" s="117" t="s">
        <v>1</v>
      </c>
      <c r="F46" s="117">
        <v>0</v>
      </c>
      <c r="G46" s="116" t="s">
        <v>133</v>
      </c>
      <c r="K46" s="8" t="str">
        <f t="shared" si="3"/>
        <v>Portugal</v>
      </c>
      <c r="L46" s="9">
        <f t="shared" si="4"/>
        <v>2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52"/>
      <c r="S46" s="52"/>
      <c r="T46" s="52"/>
      <c r="U46" s="100"/>
    </row>
    <row r="47" spans="1:21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1</v>
      </c>
      <c r="G47" s="116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52"/>
      <c r="S47" s="52"/>
      <c r="T47" s="52"/>
      <c r="U47" s="100"/>
    </row>
    <row r="48" spans="1:21" x14ac:dyDescent="0.3">
      <c r="A48" s="114">
        <v>46196</v>
      </c>
      <c r="B48" s="115">
        <v>0.83333333333333337</v>
      </c>
      <c r="C48" s="116" t="s">
        <v>135</v>
      </c>
      <c r="D48" s="117">
        <v>0</v>
      </c>
      <c r="E48" s="117" t="s">
        <v>1</v>
      </c>
      <c r="F48" s="117">
        <v>2</v>
      </c>
      <c r="G48" s="116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52"/>
      <c r="S48" s="52"/>
      <c r="T48" s="52"/>
      <c r="U48" s="100"/>
    </row>
    <row r="49" spans="1:21" x14ac:dyDescent="0.3">
      <c r="A49" s="118">
        <v>46196</v>
      </c>
      <c r="B49" s="115">
        <v>0.95833333333333337</v>
      </c>
      <c r="C49" s="119" t="s">
        <v>134</v>
      </c>
      <c r="D49" s="120">
        <v>3</v>
      </c>
      <c r="E49" s="120" t="s">
        <v>1</v>
      </c>
      <c r="F49" s="120">
        <v>0</v>
      </c>
      <c r="G49" s="119" t="s">
        <v>132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52"/>
      <c r="S49" s="52"/>
      <c r="T49" s="52"/>
      <c r="U49" s="100"/>
    </row>
    <row r="50" spans="1:21" x14ac:dyDescent="0.3">
      <c r="A50" s="67">
        <v>46197</v>
      </c>
      <c r="B50" s="65">
        <v>0.66666666666666663</v>
      </c>
      <c r="C50" s="68" t="s">
        <v>74</v>
      </c>
      <c r="D50" s="69">
        <v>2</v>
      </c>
      <c r="E50" s="69" t="s">
        <v>1</v>
      </c>
      <c r="F50" s="69">
        <v>2</v>
      </c>
      <c r="G50" s="68" t="s">
        <v>110</v>
      </c>
      <c r="K50" s="8" t="str">
        <f t="shared" si="3"/>
        <v>EMPATE</v>
      </c>
      <c r="L50" s="9">
        <f t="shared" si="4"/>
        <v>2</v>
      </c>
      <c r="M50" s="9">
        <f t="shared" si="5"/>
        <v>2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1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0</v>
      </c>
      <c r="G51" s="68" t="s">
        <v>99</v>
      </c>
      <c r="K51" s="8" t="str">
        <f t="shared" si="3"/>
        <v>Bósnia</v>
      </c>
      <c r="L51" s="9">
        <f t="shared" si="4"/>
        <v>2</v>
      </c>
      <c r="M51" s="9">
        <f t="shared" si="5"/>
        <v>0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1" x14ac:dyDescent="0.3">
      <c r="A52" s="67">
        <v>46197</v>
      </c>
      <c r="B52" s="65">
        <v>0.79166666666666663</v>
      </c>
      <c r="C52" s="70" t="s">
        <v>4</v>
      </c>
      <c r="D52" s="69">
        <v>3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3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1" x14ac:dyDescent="0.3">
      <c r="A53" s="67">
        <v>46197</v>
      </c>
      <c r="B53" s="65">
        <v>0.79166666666666663</v>
      </c>
      <c r="C53" s="70" t="s">
        <v>119</v>
      </c>
      <c r="D53" s="69">
        <v>1</v>
      </c>
      <c r="E53" s="69" t="s">
        <v>1</v>
      </c>
      <c r="F53" s="69">
        <v>2</v>
      </c>
      <c r="G53" s="70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1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1" x14ac:dyDescent="0.3">
      <c r="A54" s="64">
        <v>46197</v>
      </c>
      <c r="B54" s="65">
        <v>0.91666666666666663</v>
      </c>
      <c r="C54" s="66" t="s">
        <v>90</v>
      </c>
      <c r="D54" s="49">
        <v>0</v>
      </c>
      <c r="E54" s="49" t="s">
        <v>1</v>
      </c>
      <c r="F54" s="49">
        <v>1</v>
      </c>
      <c r="G54" s="66" t="s">
        <v>15</v>
      </c>
      <c r="K54" s="8" t="str">
        <f t="shared" si="3"/>
        <v>Coréia do Sul</v>
      </c>
      <c r="L54" s="9">
        <f t="shared" si="4"/>
        <v>1</v>
      </c>
      <c r="M54" s="9">
        <f t="shared" si="5"/>
        <v>0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1" x14ac:dyDescent="0.3">
      <c r="A55" s="64">
        <v>46197</v>
      </c>
      <c r="B55" s="65">
        <v>0.91666666666666663</v>
      </c>
      <c r="C55" s="66" t="s">
        <v>116</v>
      </c>
      <c r="D55" s="49">
        <v>0</v>
      </c>
      <c r="E55" s="49" t="s">
        <v>1</v>
      </c>
      <c r="F55" s="49">
        <v>1</v>
      </c>
      <c r="G55" s="66" t="s">
        <v>13</v>
      </c>
      <c r="K55" s="8" t="str">
        <f t="shared" si="3"/>
        <v>México</v>
      </c>
      <c r="L55" s="9">
        <f t="shared" si="4"/>
        <v>1</v>
      </c>
      <c r="M55" s="9">
        <f t="shared" si="5"/>
        <v>0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1" x14ac:dyDescent="0.3">
      <c r="A56" s="64">
        <v>46198</v>
      </c>
      <c r="B56" s="65">
        <v>0.70833333333333337</v>
      </c>
      <c r="C56" s="48" t="s">
        <v>107</v>
      </c>
      <c r="D56" s="49">
        <v>1</v>
      </c>
      <c r="E56" s="49" t="s">
        <v>1</v>
      </c>
      <c r="F56" s="49">
        <v>3</v>
      </c>
      <c r="G56" s="48" t="s">
        <v>12</v>
      </c>
      <c r="K56" s="8" t="str">
        <f t="shared" si="3"/>
        <v>Alemanha</v>
      </c>
      <c r="L56" s="9">
        <f t="shared" si="4"/>
        <v>3</v>
      </c>
      <c r="M56" s="9">
        <f t="shared" si="5"/>
        <v>1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1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4</v>
      </c>
      <c r="G57" s="48" t="s">
        <v>123</v>
      </c>
      <c r="K57" s="8" t="str">
        <f t="shared" si="3"/>
        <v>Costa do Marfim</v>
      </c>
      <c r="L57" s="9">
        <f t="shared" si="4"/>
        <v>4</v>
      </c>
      <c r="M57" s="9">
        <f t="shared" si="5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1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4</v>
      </c>
      <c r="G58" s="48" t="s">
        <v>80</v>
      </c>
      <c r="K58" s="8" t="str">
        <f t="shared" si="3"/>
        <v>Holanda</v>
      </c>
      <c r="L58" s="9">
        <f t="shared" si="4"/>
        <v>4</v>
      </c>
      <c r="M58" s="9">
        <f t="shared" si="5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1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2</v>
      </c>
      <c r="G59" s="48" t="s">
        <v>14</v>
      </c>
      <c r="K59" s="8" t="str">
        <f t="shared" si="3"/>
        <v>EMPATE</v>
      </c>
      <c r="L59" s="9">
        <f t="shared" si="4"/>
        <v>2</v>
      </c>
      <c r="M59" s="9">
        <f t="shared" si="5"/>
        <v>2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1" x14ac:dyDescent="0.3">
      <c r="A60" s="64">
        <v>46198</v>
      </c>
      <c r="B60" s="65">
        <v>0.95833333333333337</v>
      </c>
      <c r="C60" s="48" t="s">
        <v>121</v>
      </c>
      <c r="D60" s="49">
        <v>1</v>
      </c>
      <c r="E60" s="49" t="s">
        <v>1</v>
      </c>
      <c r="F60" s="49">
        <v>2</v>
      </c>
      <c r="G60" s="48" t="s">
        <v>109</v>
      </c>
      <c r="K60" s="8" t="str">
        <f t="shared" si="3"/>
        <v>Estados Unidos</v>
      </c>
      <c r="L60" s="9">
        <f t="shared" si="4"/>
        <v>2</v>
      </c>
      <c r="M60" s="9">
        <f t="shared" si="5"/>
        <v>1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1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1</v>
      </c>
      <c r="G61" s="48" t="s">
        <v>8</v>
      </c>
      <c r="K61" s="8" t="str">
        <f t="shared" si="3"/>
        <v>EMPATE</v>
      </c>
      <c r="L61" s="9">
        <f t="shared" si="4"/>
        <v>1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1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0</v>
      </c>
      <c r="G62" s="48" t="s">
        <v>127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1" x14ac:dyDescent="0.3">
      <c r="A63" s="64">
        <v>46199</v>
      </c>
      <c r="B63" s="65">
        <v>0.66666666666666663</v>
      </c>
      <c r="C63" s="48" t="s">
        <v>128</v>
      </c>
      <c r="D63" s="49">
        <v>2</v>
      </c>
      <c r="E63" s="49" t="s">
        <v>1</v>
      </c>
      <c r="F63" s="49">
        <v>4</v>
      </c>
      <c r="G63" s="48" t="s">
        <v>7</v>
      </c>
      <c r="K63" s="8" t="str">
        <f t="shared" si="3"/>
        <v>França</v>
      </c>
      <c r="L63" s="9">
        <f t="shared" si="4"/>
        <v>4</v>
      </c>
      <c r="M63" s="9">
        <f t="shared" si="5"/>
        <v>2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1" x14ac:dyDescent="0.3">
      <c r="A64" s="64">
        <v>46199</v>
      </c>
      <c r="B64" s="65">
        <v>0.875</v>
      </c>
      <c r="C64" s="48" t="s">
        <v>126</v>
      </c>
      <c r="D64" s="49">
        <v>1</v>
      </c>
      <c r="E64" s="49" t="s">
        <v>1</v>
      </c>
      <c r="F64" s="49">
        <v>1</v>
      </c>
      <c r="G64" s="48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1</v>
      </c>
      <c r="G65" s="48" t="s">
        <v>6</v>
      </c>
      <c r="K65" s="8" t="str">
        <f t="shared" si="3"/>
        <v>EMPATE</v>
      </c>
      <c r="L65" s="9">
        <f t="shared" si="4"/>
        <v>1</v>
      </c>
      <c r="M65" s="9">
        <f t="shared" si="5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2</v>
      </c>
      <c r="E66" s="49" t="s">
        <v>1</v>
      </c>
      <c r="F66" s="49">
        <v>1</v>
      </c>
      <c r="G66" s="48" t="s">
        <v>108</v>
      </c>
      <c r="K66" s="8" t="str">
        <f t="shared" si="3"/>
        <v>Egito</v>
      </c>
      <c r="L66" s="9">
        <f t="shared" si="4"/>
        <v>2</v>
      </c>
      <c r="M66" s="9">
        <f t="shared" si="5"/>
        <v>1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0</v>
      </c>
      <c r="E67" s="49" t="s">
        <v>1</v>
      </c>
      <c r="F67" s="49">
        <v>2</v>
      </c>
      <c r="G67" s="48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0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1</v>
      </c>
      <c r="E68" s="49" t="s">
        <v>1</v>
      </c>
      <c r="F68" s="49">
        <v>0</v>
      </c>
      <c r="G68" s="48" t="s">
        <v>111</v>
      </c>
      <c r="K68" s="8" t="str">
        <f t="shared" ref="K68:K105" si="7">IF(D68="","",IF(D68&gt;F68,C68,IF(F68&gt;D68,G68,"EMPATE")))</f>
        <v>Croácia</v>
      </c>
      <c r="L68" s="9">
        <f t="shared" ref="L68:L105" si="8">IF(D68="","",IF(D68&gt;F68,D68,IF(F68&gt;D68,F68,D68)))</f>
        <v>1</v>
      </c>
      <c r="M68" s="9">
        <f t="shared" ref="M68:M105" si="9">IF(D68="","",IF(D68&lt;F68,D68,IF(F68&lt;D68,F68,D68)))</f>
        <v>0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5</v>
      </c>
      <c r="G69" s="48" t="s">
        <v>18</v>
      </c>
      <c r="K69" s="8" t="str">
        <f t="shared" si="7"/>
        <v>Inglaterra</v>
      </c>
      <c r="L69" s="9">
        <f t="shared" si="8"/>
        <v>5</v>
      </c>
      <c r="M69" s="9">
        <f t="shared" si="9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1</v>
      </c>
      <c r="G70" s="48" t="s">
        <v>133</v>
      </c>
      <c r="K70" s="8" t="str">
        <f t="shared" si="7"/>
        <v>EMPATE</v>
      </c>
      <c r="L70" s="9">
        <f t="shared" si="8"/>
        <v>1</v>
      </c>
      <c r="M70" s="9">
        <f t="shared" si="9"/>
        <v>1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1</v>
      </c>
      <c r="G71" s="48" t="s">
        <v>5</v>
      </c>
      <c r="K71" s="8" t="str">
        <f t="shared" si="7"/>
        <v>EMPATE</v>
      </c>
      <c r="L71" s="9">
        <f t="shared" si="8"/>
        <v>1</v>
      </c>
      <c r="M71" s="9">
        <f t="shared" si="9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2</v>
      </c>
      <c r="G72" s="48" t="s">
        <v>9</v>
      </c>
      <c r="K72" s="8" t="str">
        <f t="shared" si="7"/>
        <v>Argentina</v>
      </c>
      <c r="L72" s="9">
        <f t="shared" si="8"/>
        <v>2</v>
      </c>
      <c r="M72" s="9">
        <f t="shared" si="9"/>
        <v>0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0</v>
      </c>
      <c r="E73" s="49" t="s">
        <v>1</v>
      </c>
      <c r="F73" s="49">
        <v>1</v>
      </c>
      <c r="G73" s="48" t="s">
        <v>130</v>
      </c>
      <c r="K73" s="8" t="str">
        <f t="shared" si="7"/>
        <v>Áustria</v>
      </c>
      <c r="L73" s="9">
        <f t="shared" si="8"/>
        <v>1</v>
      </c>
      <c r="M73" s="9">
        <f t="shared" si="9"/>
        <v>0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7"/>
        <v/>
      </c>
      <c r="L74" s="9" t="str">
        <f t="shared" si="8"/>
        <v/>
      </c>
      <c r="M74" s="9" t="str">
        <f t="shared" si="9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7"/>
        <v/>
      </c>
      <c r="L75" s="9" t="str">
        <f t="shared" si="8"/>
        <v/>
      </c>
      <c r="M75" s="9" t="str">
        <f t="shared" si="9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7"/>
        <v/>
      </c>
      <c r="L76" s="9" t="str">
        <f t="shared" si="8"/>
        <v/>
      </c>
      <c r="M76" s="9" t="str">
        <f t="shared" si="9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7"/>
        <v/>
      </c>
      <c r="L77" s="9" t="str">
        <f t="shared" si="8"/>
        <v/>
      </c>
      <c r="M77" s="9" t="str">
        <f t="shared" si="9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7"/>
        <v/>
      </c>
      <c r="L78" s="9" t="str">
        <f t="shared" si="8"/>
        <v/>
      </c>
      <c r="M78" s="9" t="str">
        <f t="shared" si="9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7"/>
        <v/>
      </c>
      <c r="L79" s="9" t="str">
        <f t="shared" si="8"/>
        <v/>
      </c>
      <c r="M79" s="9" t="str">
        <f t="shared" si="9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7"/>
        <v/>
      </c>
      <c r="L80" s="9" t="str">
        <f t="shared" si="8"/>
        <v/>
      </c>
      <c r="M80" s="9" t="str">
        <f t="shared" si="9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7"/>
        <v/>
      </c>
      <c r="L81" s="9" t="str">
        <f t="shared" si="8"/>
        <v/>
      </c>
      <c r="M81" s="9" t="str">
        <f t="shared" si="9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7"/>
        <v/>
      </c>
      <c r="L82" s="9" t="str">
        <f t="shared" si="8"/>
        <v/>
      </c>
      <c r="M82" s="9" t="str">
        <f t="shared" si="9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7"/>
        <v/>
      </c>
      <c r="L83" s="9" t="str">
        <f t="shared" si="8"/>
        <v/>
      </c>
      <c r="M83" s="9" t="str">
        <f t="shared" si="9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7"/>
        <v/>
      </c>
      <c r="L84" s="9" t="str">
        <f t="shared" si="8"/>
        <v/>
      </c>
      <c r="M84" s="9" t="str">
        <f t="shared" si="9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7"/>
        <v/>
      </c>
      <c r="L85" s="9" t="str">
        <f t="shared" si="8"/>
        <v/>
      </c>
      <c r="M85" s="9" t="str">
        <f t="shared" si="9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7"/>
        <v/>
      </c>
      <c r="L86" s="9" t="str">
        <f t="shared" si="8"/>
        <v/>
      </c>
      <c r="M86" s="9" t="str">
        <f t="shared" si="9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7"/>
        <v/>
      </c>
      <c r="L87" s="9" t="str">
        <f t="shared" si="8"/>
        <v/>
      </c>
      <c r="M87" s="9" t="str">
        <f t="shared" si="9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7"/>
        <v/>
      </c>
      <c r="L88" s="9" t="str">
        <f t="shared" si="8"/>
        <v/>
      </c>
      <c r="M88" s="9" t="str">
        <f t="shared" si="9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7"/>
        <v/>
      </c>
      <c r="L89" s="9" t="str">
        <f t="shared" si="8"/>
        <v/>
      </c>
      <c r="M89" s="9" t="str">
        <f t="shared" si="9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93F2-9F97-4E26-BD83-088E3441EF9E}">
  <dimension ref="A1:Z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21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137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21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1</v>
      </c>
      <c r="G2" s="66" t="s">
        <v>90</v>
      </c>
      <c r="H2" s="155"/>
      <c r="I2" s="149"/>
      <c r="J2" s="156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6</v>
      </c>
      <c r="Q2" s="100"/>
      <c r="R2" s="52"/>
      <c r="S2" s="52"/>
      <c r="T2" s="52"/>
      <c r="U2" s="100"/>
    </row>
    <row r="3" spans="1:21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Q3" s="100"/>
      <c r="R3" s="52"/>
      <c r="S3" s="52"/>
      <c r="T3" s="52"/>
      <c r="U3" s="100"/>
    </row>
    <row r="4" spans="1:21" ht="15.75" customHeight="1" x14ac:dyDescent="0.3">
      <c r="A4" s="64">
        <v>46185</v>
      </c>
      <c r="B4" s="65">
        <v>0.66666666666666663</v>
      </c>
      <c r="C4" s="66" t="s">
        <v>110</v>
      </c>
      <c r="D4" s="49">
        <v>1</v>
      </c>
      <c r="E4" s="49" t="s">
        <v>1</v>
      </c>
      <c r="F4" s="49">
        <v>0</v>
      </c>
      <c r="G4" s="66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1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100"/>
      <c r="R4" s="52"/>
      <c r="S4" s="52"/>
      <c r="T4" s="52"/>
      <c r="U4" s="100"/>
    </row>
    <row r="5" spans="1:21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1</v>
      </c>
      <c r="G5" s="66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  <c r="Q5" s="100"/>
      <c r="R5" s="52"/>
      <c r="S5" s="52"/>
      <c r="T5" s="52"/>
      <c r="U5" s="100"/>
    </row>
    <row r="6" spans="1:21" ht="15.75" customHeight="1" x14ac:dyDescent="0.3">
      <c r="A6" s="64">
        <v>46186</v>
      </c>
      <c r="B6" s="65">
        <v>0.66666666666666663</v>
      </c>
      <c r="C6" s="66" t="s">
        <v>99</v>
      </c>
      <c r="D6" s="49">
        <v>0</v>
      </c>
      <c r="E6" s="49" t="s">
        <v>1</v>
      </c>
      <c r="F6" s="49">
        <v>1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1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100"/>
      <c r="R6" s="52"/>
      <c r="S6" s="52"/>
      <c r="T6" s="52"/>
      <c r="U6" s="100"/>
    </row>
    <row r="7" spans="1:21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100"/>
      <c r="R7" s="52"/>
      <c r="S7" s="52"/>
      <c r="T7" s="52"/>
      <c r="U7" s="100"/>
    </row>
    <row r="8" spans="1:21" ht="15.75" customHeight="1" x14ac:dyDescent="0.3">
      <c r="A8" s="64">
        <v>46186</v>
      </c>
      <c r="B8" s="65">
        <v>0.91666666666666663</v>
      </c>
      <c r="C8" s="66" t="s">
        <v>118</v>
      </c>
      <c r="D8" s="49">
        <v>1</v>
      </c>
      <c r="E8" s="49" t="s">
        <v>1</v>
      </c>
      <c r="F8" s="49">
        <v>3</v>
      </c>
      <c r="G8" s="66" t="s">
        <v>119</v>
      </c>
      <c r="H8" s="15">
        <v>6</v>
      </c>
      <c r="I8" s="15">
        <f>COUNTIF($O$2:$O$65,6)</f>
        <v>3</v>
      </c>
      <c r="J8" s="15">
        <f t="shared" ref="J8:J11" si="6">H8*I8</f>
        <v>18</v>
      </c>
      <c r="K8" s="8" t="str">
        <f t="shared" si="3"/>
        <v>Escócia</v>
      </c>
      <c r="L8" s="9">
        <f t="shared" si="4"/>
        <v>3</v>
      </c>
      <c r="M8" s="9">
        <f t="shared" si="5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3</v>
      </c>
      <c r="Q8" s="100"/>
      <c r="R8" s="52"/>
      <c r="S8" s="52"/>
      <c r="T8" s="52"/>
      <c r="U8" s="100"/>
    </row>
    <row r="9" spans="1:21" ht="15.75" customHeight="1" x14ac:dyDescent="0.3">
      <c r="A9" s="64">
        <v>46187</v>
      </c>
      <c r="B9" s="65">
        <v>4.1666666666666664E-2</v>
      </c>
      <c r="C9" s="66" t="s">
        <v>8</v>
      </c>
      <c r="D9" s="49">
        <v>1</v>
      </c>
      <c r="E9" s="49" t="s">
        <v>1</v>
      </c>
      <c r="F9" s="49">
        <v>1</v>
      </c>
      <c r="G9" s="66" t="s">
        <v>121</v>
      </c>
      <c r="H9" s="15">
        <v>4</v>
      </c>
      <c r="I9" s="15">
        <f>COUNTIF($O$2:$O$65,4)</f>
        <v>8</v>
      </c>
      <c r="J9" s="15">
        <f t="shared" si="6"/>
        <v>32</v>
      </c>
      <c r="K9" s="8" t="str">
        <f t="shared" si="3"/>
        <v>EMPATE</v>
      </c>
      <c r="L9" s="9">
        <f t="shared" si="4"/>
        <v>1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Q9" s="100"/>
      <c r="R9" s="52"/>
      <c r="S9" s="52"/>
      <c r="T9" s="52"/>
      <c r="U9" s="100"/>
    </row>
    <row r="10" spans="1:21" x14ac:dyDescent="0.3">
      <c r="A10" s="64">
        <v>46187</v>
      </c>
      <c r="B10" s="65">
        <v>0.58333333333333337</v>
      </c>
      <c r="C10" s="66" t="s">
        <v>12</v>
      </c>
      <c r="D10" s="49">
        <v>5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11</v>
      </c>
      <c r="J10" s="15">
        <f t="shared" si="6"/>
        <v>33</v>
      </c>
      <c r="K10" s="8" t="str">
        <f t="shared" si="3"/>
        <v>Alemanha</v>
      </c>
      <c r="L10" s="9">
        <f t="shared" si="4"/>
        <v>5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100"/>
      <c r="R10" s="52"/>
      <c r="S10" s="52"/>
      <c r="T10" s="52"/>
      <c r="U10" s="100"/>
    </row>
    <row r="11" spans="1:21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20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100"/>
      <c r="R11" s="52"/>
      <c r="S11" s="52"/>
      <c r="T11" s="52"/>
      <c r="U11" s="100"/>
    </row>
    <row r="12" spans="1:21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1</v>
      </c>
      <c r="G12" s="66" t="s">
        <v>107</v>
      </c>
      <c r="H12" s="15"/>
      <c r="I12" s="16" t="s">
        <v>48</v>
      </c>
      <c r="J12" s="17">
        <f>SUM(J7:J11)</f>
        <v>101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100"/>
      <c r="R12" s="52"/>
      <c r="S12" s="52"/>
      <c r="T12" s="52"/>
      <c r="U12" s="100"/>
    </row>
    <row r="13" spans="1:21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0</v>
      </c>
      <c r="G13" s="66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  <c r="Q13" s="100"/>
      <c r="R13" s="52"/>
      <c r="S13" s="52"/>
      <c r="T13" s="52"/>
      <c r="U13" s="100"/>
    </row>
    <row r="14" spans="1:21" x14ac:dyDescent="0.3">
      <c r="A14" s="64">
        <v>46188</v>
      </c>
      <c r="B14" s="65">
        <v>0.54166666666666663</v>
      </c>
      <c r="C14" s="66" t="s">
        <v>6</v>
      </c>
      <c r="D14" s="49">
        <v>4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100"/>
      <c r="R14" s="52"/>
      <c r="S14" s="52"/>
      <c r="T14" s="52"/>
      <c r="U14" s="100"/>
    </row>
    <row r="15" spans="1:21" x14ac:dyDescent="0.3">
      <c r="A15" s="64">
        <v>46188</v>
      </c>
      <c r="B15" s="65">
        <v>0.66666666666666663</v>
      </c>
      <c r="C15" s="66" t="s">
        <v>16</v>
      </c>
      <c r="D15" s="49">
        <v>3</v>
      </c>
      <c r="E15" s="49" t="s">
        <v>1</v>
      </c>
      <c r="F15" s="49">
        <v>1</v>
      </c>
      <c r="G15" s="66" t="s">
        <v>124</v>
      </c>
      <c r="K15" s="8" t="str">
        <f t="shared" si="3"/>
        <v>Bélgica</v>
      </c>
      <c r="L15" s="9">
        <f t="shared" si="4"/>
        <v>3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100"/>
      <c r="R15" s="52"/>
      <c r="S15" s="52"/>
      <c r="T15" s="52"/>
      <c r="U15" s="100"/>
    </row>
    <row r="16" spans="1:21" x14ac:dyDescent="0.3">
      <c r="A16" s="64">
        <v>46188</v>
      </c>
      <c r="B16" s="65">
        <v>0.79166666666666663</v>
      </c>
      <c r="C16" s="66" t="s">
        <v>2</v>
      </c>
      <c r="D16" s="49">
        <v>1</v>
      </c>
      <c r="E16" s="49" t="s">
        <v>1</v>
      </c>
      <c r="F16" s="49">
        <v>3</v>
      </c>
      <c r="G16" s="66" t="s">
        <v>3</v>
      </c>
      <c r="K16" s="8" t="str">
        <f t="shared" si="3"/>
        <v>Uruguai</v>
      </c>
      <c r="L16" s="9">
        <f t="shared" si="4"/>
        <v>3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100"/>
      <c r="R16" s="52"/>
      <c r="S16" s="52"/>
      <c r="T16" s="52"/>
      <c r="U16" s="100"/>
    </row>
    <row r="17" spans="1:22" x14ac:dyDescent="0.3">
      <c r="A17" s="64">
        <v>46188</v>
      </c>
      <c r="B17" s="65">
        <v>0.91666666666666663</v>
      </c>
      <c r="C17" s="66" t="s">
        <v>108</v>
      </c>
      <c r="D17" s="49">
        <v>2</v>
      </c>
      <c r="E17" s="49" t="s">
        <v>1</v>
      </c>
      <c r="F17" s="49">
        <v>0</v>
      </c>
      <c r="G17" s="66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Q17" s="100"/>
      <c r="R17" s="52"/>
      <c r="S17" s="52"/>
      <c r="T17" s="52"/>
      <c r="U17" s="100"/>
    </row>
    <row r="18" spans="1:22" x14ac:dyDescent="0.3">
      <c r="A18" s="64">
        <v>46189</v>
      </c>
      <c r="B18" s="65">
        <v>0.66666666666666663</v>
      </c>
      <c r="C18" s="66" t="s">
        <v>7</v>
      </c>
      <c r="D18" s="49">
        <v>3</v>
      </c>
      <c r="E18" s="49" t="s">
        <v>1</v>
      </c>
      <c r="F18" s="49">
        <v>1</v>
      </c>
      <c r="G18" s="66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  <c r="Q18" s="100"/>
      <c r="R18" s="52"/>
      <c r="S18" s="52"/>
      <c r="T18" s="52"/>
      <c r="U18" s="100"/>
    </row>
    <row r="19" spans="1:22" x14ac:dyDescent="0.3">
      <c r="A19" s="64">
        <v>46189</v>
      </c>
      <c r="B19" s="65">
        <v>0.79166666666666663</v>
      </c>
      <c r="C19" s="66" t="s">
        <v>127</v>
      </c>
      <c r="D19" s="49">
        <v>1</v>
      </c>
      <c r="E19" s="49" t="s">
        <v>1</v>
      </c>
      <c r="F19" s="49">
        <v>3</v>
      </c>
      <c r="G19" s="66" t="s">
        <v>128</v>
      </c>
      <c r="K19" s="8" t="str">
        <f t="shared" si="3"/>
        <v>Noruega</v>
      </c>
      <c r="L19" s="9">
        <f t="shared" si="4"/>
        <v>3</v>
      </c>
      <c r="M19" s="9">
        <f t="shared" si="5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4</v>
      </c>
      <c r="Q19" s="100"/>
      <c r="R19" s="52"/>
      <c r="S19" s="52"/>
      <c r="T19" s="52"/>
      <c r="U19" s="100"/>
    </row>
    <row r="20" spans="1:22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0</v>
      </c>
      <c r="G20" s="66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Q20" s="100"/>
      <c r="R20" s="52"/>
      <c r="S20" s="52"/>
      <c r="T20" s="52"/>
      <c r="U20" s="100"/>
    </row>
    <row r="21" spans="1:22" x14ac:dyDescent="0.3">
      <c r="A21" s="64">
        <v>46190</v>
      </c>
      <c r="B21" s="65">
        <v>4.1666666666666664E-2</v>
      </c>
      <c r="C21" s="66" t="s">
        <v>130</v>
      </c>
      <c r="D21" s="49">
        <v>1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Q21" s="100"/>
      <c r="R21" s="52"/>
      <c r="S21" s="52"/>
      <c r="T21" s="52"/>
      <c r="U21" s="100"/>
    </row>
    <row r="22" spans="1:22" x14ac:dyDescent="0.3">
      <c r="A22" s="64">
        <v>46190</v>
      </c>
      <c r="B22" s="65">
        <v>0.58333333333333337</v>
      </c>
      <c r="C22" s="66" t="s">
        <v>5</v>
      </c>
      <c r="D22" s="49">
        <v>3</v>
      </c>
      <c r="E22" s="49" t="s">
        <v>1</v>
      </c>
      <c r="F22" s="49">
        <v>1</v>
      </c>
      <c r="G22" s="66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1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100"/>
      <c r="R22" s="52"/>
      <c r="S22" s="52"/>
      <c r="T22" s="52"/>
      <c r="U22" s="100"/>
    </row>
    <row r="23" spans="1:22" x14ac:dyDescent="0.3">
      <c r="A23" s="64">
        <v>46190</v>
      </c>
      <c r="B23" s="65">
        <v>0.70833333333333337</v>
      </c>
      <c r="C23" s="66" t="s">
        <v>18</v>
      </c>
      <c r="D23" s="49">
        <v>1</v>
      </c>
      <c r="E23" s="49" t="s">
        <v>1</v>
      </c>
      <c r="F23" s="49">
        <v>0</v>
      </c>
      <c r="G23" s="66" t="s">
        <v>10</v>
      </c>
      <c r="K23" s="8" t="str">
        <f t="shared" si="3"/>
        <v>Inglaterra</v>
      </c>
      <c r="L23" s="9">
        <f t="shared" si="4"/>
        <v>1</v>
      </c>
      <c r="M23" s="9">
        <f t="shared" si="5"/>
        <v>0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Q23" s="100"/>
      <c r="R23" s="52"/>
      <c r="S23" s="52"/>
      <c r="T23" s="52"/>
      <c r="U23" s="100"/>
    </row>
    <row r="24" spans="1:22" x14ac:dyDescent="0.3">
      <c r="A24" s="64">
        <v>46190</v>
      </c>
      <c r="B24" s="65">
        <v>0.83333333333333337</v>
      </c>
      <c r="C24" s="66" t="s">
        <v>111</v>
      </c>
      <c r="D24" s="49">
        <v>3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Q24" s="100"/>
      <c r="R24" s="52"/>
      <c r="S24" s="52"/>
      <c r="T24" s="52"/>
      <c r="U24" s="100"/>
    </row>
    <row r="25" spans="1:22" x14ac:dyDescent="0.3">
      <c r="A25" s="64">
        <v>46190</v>
      </c>
      <c r="B25" s="65">
        <v>0.95833333333333337</v>
      </c>
      <c r="C25" s="66" t="s">
        <v>133</v>
      </c>
      <c r="D25" s="49">
        <v>0</v>
      </c>
      <c r="E25" s="49" t="s">
        <v>1</v>
      </c>
      <c r="F25" s="49">
        <v>1</v>
      </c>
      <c r="G25" s="66" t="s">
        <v>134</v>
      </c>
      <c r="K25" s="8" t="str">
        <f t="shared" si="3"/>
        <v>Colômbia</v>
      </c>
      <c r="L25" s="9">
        <f t="shared" si="4"/>
        <v>1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  <c r="Q25" s="100"/>
      <c r="R25" s="52"/>
      <c r="S25" s="52"/>
      <c r="T25" s="52"/>
      <c r="U25" s="100"/>
    </row>
    <row r="26" spans="1:22" x14ac:dyDescent="0.3">
      <c r="A26" s="114">
        <v>46191</v>
      </c>
      <c r="B26" s="115">
        <v>0.54166666666666663</v>
      </c>
      <c r="C26" s="116" t="s">
        <v>116</v>
      </c>
      <c r="D26" s="117">
        <v>2</v>
      </c>
      <c r="E26" s="117" t="s">
        <v>1</v>
      </c>
      <c r="F26" s="117">
        <v>1</v>
      </c>
      <c r="G26" s="116" t="s">
        <v>90</v>
      </c>
      <c r="K26" s="8" t="str">
        <f t="shared" si="3"/>
        <v>República Tcheca</v>
      </c>
      <c r="L26" s="9">
        <f t="shared" si="4"/>
        <v>2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R26" s="100"/>
      <c r="S26" s="52"/>
      <c r="T26" s="52"/>
      <c r="U26" s="52"/>
      <c r="V26" s="100"/>
    </row>
    <row r="27" spans="1:22" x14ac:dyDescent="0.3">
      <c r="A27" s="114">
        <v>46191</v>
      </c>
      <c r="B27" s="115">
        <v>0.66666666666666663</v>
      </c>
      <c r="C27" s="116" t="s">
        <v>74</v>
      </c>
      <c r="D27" s="117">
        <v>2</v>
      </c>
      <c r="E27" s="117" t="s">
        <v>1</v>
      </c>
      <c r="F27" s="117">
        <v>0</v>
      </c>
      <c r="G27" s="116" t="s">
        <v>117</v>
      </c>
      <c r="K27" s="8" t="str">
        <f t="shared" si="3"/>
        <v>Suíça</v>
      </c>
      <c r="L27" s="9">
        <f t="shared" si="4"/>
        <v>2</v>
      </c>
      <c r="M27" s="9">
        <f t="shared" si="5"/>
        <v>0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3</v>
      </c>
      <c r="R27" s="100"/>
      <c r="S27" s="52"/>
      <c r="T27" s="52"/>
      <c r="U27" s="52"/>
      <c r="V27" s="100"/>
    </row>
    <row r="28" spans="1:22" x14ac:dyDescent="0.3">
      <c r="A28" s="114">
        <v>46191</v>
      </c>
      <c r="B28" s="115">
        <v>0.79166666666666663</v>
      </c>
      <c r="C28" s="116" t="s">
        <v>110</v>
      </c>
      <c r="D28" s="117">
        <v>2</v>
      </c>
      <c r="E28" s="117" t="s">
        <v>1</v>
      </c>
      <c r="F28" s="117">
        <v>1</v>
      </c>
      <c r="G28" s="116" t="s">
        <v>99</v>
      </c>
      <c r="K28" s="8" t="str">
        <f t="shared" si="3"/>
        <v>Canadá</v>
      </c>
      <c r="L28" s="9">
        <f t="shared" si="4"/>
        <v>2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R28" s="100"/>
      <c r="S28" s="52"/>
      <c r="T28" s="52"/>
      <c r="U28" s="52"/>
      <c r="V28" s="100"/>
    </row>
    <row r="29" spans="1:22" x14ac:dyDescent="0.3">
      <c r="A29" s="114">
        <v>46191</v>
      </c>
      <c r="B29" s="115">
        <v>0.91666666666666663</v>
      </c>
      <c r="C29" s="116" t="s">
        <v>13</v>
      </c>
      <c r="D29" s="117">
        <v>1</v>
      </c>
      <c r="E29" s="117" t="s">
        <v>1</v>
      </c>
      <c r="F29" s="117">
        <v>1</v>
      </c>
      <c r="G29" s="116" t="s">
        <v>15</v>
      </c>
      <c r="K29" s="8" t="str">
        <f t="shared" si="3"/>
        <v>EMPATE</v>
      </c>
      <c r="L29" s="9">
        <f t="shared" si="4"/>
        <v>1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R29" s="100"/>
      <c r="S29" s="52"/>
      <c r="T29" s="52"/>
      <c r="U29" s="52"/>
      <c r="V29" s="100"/>
    </row>
    <row r="30" spans="1:22" x14ac:dyDescent="0.3">
      <c r="A30" s="114">
        <v>46192</v>
      </c>
      <c r="B30" s="115">
        <v>0.66666666666666663</v>
      </c>
      <c r="C30" s="116" t="s">
        <v>109</v>
      </c>
      <c r="D30" s="117">
        <v>2</v>
      </c>
      <c r="E30" s="117" t="s">
        <v>1</v>
      </c>
      <c r="F30" s="117">
        <v>1</v>
      </c>
      <c r="G30" s="116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R30" s="100"/>
      <c r="S30" s="52"/>
      <c r="T30" s="52"/>
      <c r="U30" s="52"/>
      <c r="V30" s="100"/>
    </row>
    <row r="31" spans="1:22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2</v>
      </c>
      <c r="G31" s="116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R31" s="100"/>
      <c r="S31" s="52"/>
      <c r="T31" s="52"/>
      <c r="U31" s="52"/>
      <c r="V31" s="100"/>
    </row>
    <row r="32" spans="1:22" x14ac:dyDescent="0.3">
      <c r="A32" s="114">
        <v>46192</v>
      </c>
      <c r="B32" s="115">
        <v>0.89583333333333337</v>
      </c>
      <c r="C32" s="116" t="s">
        <v>11</v>
      </c>
      <c r="D32" s="117">
        <v>4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4"/>
        <v>4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R32" s="100"/>
      <c r="S32" s="52"/>
      <c r="T32" s="52"/>
      <c r="U32" s="52"/>
      <c r="V32" s="100"/>
    </row>
    <row r="33" spans="1:22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1</v>
      </c>
      <c r="G33" s="116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R33" s="100"/>
      <c r="S33" s="52"/>
      <c r="T33" s="52"/>
      <c r="U33" s="52"/>
      <c r="V33" s="100"/>
    </row>
    <row r="34" spans="1:22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1</v>
      </c>
      <c r="G34" s="116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R34" s="100"/>
      <c r="S34" s="52"/>
      <c r="T34" s="52"/>
      <c r="U34" s="52"/>
      <c r="V34" s="100"/>
    </row>
    <row r="35" spans="1:22" x14ac:dyDescent="0.3">
      <c r="A35" s="114">
        <v>46193</v>
      </c>
      <c r="B35" s="115">
        <v>0.70833333333333337</v>
      </c>
      <c r="C35" s="116" t="s">
        <v>12</v>
      </c>
      <c r="D35" s="117">
        <v>3</v>
      </c>
      <c r="E35" s="117" t="s">
        <v>1</v>
      </c>
      <c r="F35" s="117">
        <v>1</v>
      </c>
      <c r="G35" s="116" t="s">
        <v>123</v>
      </c>
      <c r="K35" s="8" t="str">
        <f t="shared" si="3"/>
        <v>Alemanha</v>
      </c>
      <c r="L35" s="9">
        <f t="shared" si="4"/>
        <v>3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R35" s="100"/>
      <c r="S35" s="52"/>
      <c r="T35" s="52"/>
      <c r="U35" s="52"/>
      <c r="V35" s="100"/>
    </row>
    <row r="36" spans="1:22" x14ac:dyDescent="0.3">
      <c r="A36" s="114">
        <v>46193</v>
      </c>
      <c r="B36" s="115">
        <v>0.875</v>
      </c>
      <c r="C36" s="116" t="s">
        <v>107</v>
      </c>
      <c r="D36" s="117">
        <v>3</v>
      </c>
      <c r="E36" s="117" t="s">
        <v>1</v>
      </c>
      <c r="F36" s="117">
        <v>0</v>
      </c>
      <c r="G36" s="116" t="s">
        <v>122</v>
      </c>
      <c r="K36" s="8" t="str">
        <f t="shared" si="3"/>
        <v>Equador</v>
      </c>
      <c r="L36" s="9">
        <f t="shared" si="4"/>
        <v>3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R36" s="100"/>
      <c r="S36" s="52"/>
      <c r="T36" s="52"/>
      <c r="U36" s="52"/>
      <c r="V36" s="100"/>
    </row>
    <row r="37" spans="1:22" x14ac:dyDescent="0.3">
      <c r="A37" s="114">
        <v>46194</v>
      </c>
      <c r="B37" s="115">
        <v>4.1666666666666664E-2</v>
      </c>
      <c r="C37" s="116" t="s">
        <v>17</v>
      </c>
      <c r="D37" s="117">
        <v>0</v>
      </c>
      <c r="E37" s="117" t="s">
        <v>1</v>
      </c>
      <c r="F37" s="117">
        <v>2</v>
      </c>
      <c r="G37" s="116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0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R37" s="100"/>
      <c r="S37" s="52"/>
      <c r="T37" s="52"/>
      <c r="U37" s="52"/>
      <c r="V37" s="100"/>
    </row>
    <row r="38" spans="1:22" x14ac:dyDescent="0.3">
      <c r="A38" s="114">
        <v>46194</v>
      </c>
      <c r="B38" s="115">
        <v>0.54166666666666663</v>
      </c>
      <c r="C38" s="116" t="s">
        <v>6</v>
      </c>
      <c r="D38" s="117">
        <v>3</v>
      </c>
      <c r="E38" s="117" t="s">
        <v>1</v>
      </c>
      <c r="F38" s="117">
        <v>0</v>
      </c>
      <c r="G38" s="116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R38" s="100"/>
      <c r="S38" s="52"/>
      <c r="T38" s="52"/>
      <c r="U38" s="52"/>
      <c r="V38" s="100"/>
    </row>
    <row r="39" spans="1:22" x14ac:dyDescent="0.3">
      <c r="A39" s="114">
        <v>46194</v>
      </c>
      <c r="B39" s="115">
        <v>0.66666666666666663</v>
      </c>
      <c r="C39" s="116" t="s">
        <v>16</v>
      </c>
      <c r="D39" s="117">
        <v>2</v>
      </c>
      <c r="E39" s="117" t="s">
        <v>1</v>
      </c>
      <c r="F39" s="117">
        <v>0</v>
      </c>
      <c r="G39" s="116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0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R39" s="100"/>
      <c r="S39" s="52"/>
      <c r="T39" s="52"/>
      <c r="U39" s="52"/>
      <c r="V39" s="100"/>
    </row>
    <row r="40" spans="1:22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R40" s="100"/>
      <c r="S40" s="52"/>
      <c r="T40" s="52"/>
      <c r="U40" s="52"/>
      <c r="V40" s="100"/>
    </row>
    <row r="41" spans="1:22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R41" s="100"/>
      <c r="S41" s="52"/>
      <c r="T41" s="52"/>
      <c r="U41" s="52"/>
      <c r="V41" s="100"/>
    </row>
    <row r="42" spans="1:22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1</v>
      </c>
      <c r="G42" s="116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R42" s="100"/>
      <c r="S42" s="52"/>
      <c r="T42" s="52"/>
      <c r="U42" s="52"/>
      <c r="V42" s="100"/>
    </row>
    <row r="43" spans="1:22" x14ac:dyDescent="0.3">
      <c r="A43" s="114">
        <v>46195</v>
      </c>
      <c r="B43" s="115">
        <v>0.75</v>
      </c>
      <c r="C43" s="116" t="s">
        <v>7</v>
      </c>
      <c r="D43" s="117">
        <v>4</v>
      </c>
      <c r="E43" s="117" t="s">
        <v>1</v>
      </c>
      <c r="F43" s="117">
        <v>0</v>
      </c>
      <c r="G43" s="116" t="s">
        <v>127</v>
      </c>
      <c r="K43" s="8" t="str">
        <f t="shared" si="3"/>
        <v>França</v>
      </c>
      <c r="L43" s="9">
        <f t="shared" si="4"/>
        <v>4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R43" s="100"/>
      <c r="S43" s="52"/>
      <c r="T43" s="52"/>
      <c r="U43" s="52"/>
      <c r="V43" s="100"/>
    </row>
    <row r="44" spans="1:22" x14ac:dyDescent="0.3">
      <c r="A44" s="114">
        <v>46195</v>
      </c>
      <c r="B44" s="115">
        <v>0.875</v>
      </c>
      <c r="C44" s="116" t="s">
        <v>128</v>
      </c>
      <c r="D44" s="117">
        <v>1</v>
      </c>
      <c r="E44" s="117" t="s">
        <v>1</v>
      </c>
      <c r="F44" s="117">
        <v>1</v>
      </c>
      <c r="G44" s="116" t="s">
        <v>20</v>
      </c>
      <c r="K44" s="8" t="str">
        <f t="shared" si="3"/>
        <v>EMPATE</v>
      </c>
      <c r="L44" s="9">
        <f t="shared" si="4"/>
        <v>1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R44" s="100"/>
      <c r="S44" s="52"/>
      <c r="T44" s="52"/>
      <c r="U44" s="52"/>
      <c r="V44" s="100"/>
    </row>
    <row r="45" spans="1:22" x14ac:dyDescent="0.3">
      <c r="A45" s="114">
        <v>46196</v>
      </c>
      <c r="B45" s="115">
        <v>0</v>
      </c>
      <c r="C45" s="116" t="s">
        <v>131</v>
      </c>
      <c r="D45" s="117">
        <v>0</v>
      </c>
      <c r="E45" s="117" t="s">
        <v>1</v>
      </c>
      <c r="F45" s="117">
        <v>1</v>
      </c>
      <c r="G45" s="116" t="s">
        <v>129</v>
      </c>
      <c r="K45" s="8" t="str">
        <f t="shared" si="3"/>
        <v>Argélia</v>
      </c>
      <c r="L45" s="9">
        <f t="shared" si="4"/>
        <v>1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3</v>
      </c>
      <c r="R45" s="100"/>
      <c r="S45" s="52"/>
      <c r="T45" s="52"/>
      <c r="U45" s="52"/>
      <c r="V45" s="100"/>
    </row>
    <row r="46" spans="1:22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0</v>
      </c>
      <c r="G46" s="116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R46" s="100"/>
      <c r="S46" s="52"/>
      <c r="T46" s="52"/>
      <c r="U46" s="52"/>
      <c r="V46" s="100"/>
    </row>
    <row r="47" spans="1:22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1</v>
      </c>
      <c r="G47" s="116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R47" s="100"/>
      <c r="S47" s="52"/>
      <c r="T47" s="52"/>
      <c r="U47" s="52"/>
      <c r="V47" s="100"/>
    </row>
    <row r="48" spans="1:22" x14ac:dyDescent="0.3">
      <c r="A48" s="114">
        <v>46196</v>
      </c>
      <c r="B48" s="115">
        <v>0.83333333333333337</v>
      </c>
      <c r="C48" s="116" t="s">
        <v>135</v>
      </c>
      <c r="D48" s="117">
        <v>0</v>
      </c>
      <c r="E48" s="117" t="s">
        <v>1</v>
      </c>
      <c r="F48" s="117">
        <v>2</v>
      </c>
      <c r="G48" s="116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R48" s="100"/>
      <c r="S48" s="52"/>
      <c r="T48" s="52"/>
      <c r="U48" s="52"/>
      <c r="V48" s="100"/>
    </row>
    <row r="49" spans="1:26" x14ac:dyDescent="0.3">
      <c r="A49" s="118">
        <v>46196</v>
      </c>
      <c r="B49" s="115">
        <v>0.95833333333333337</v>
      </c>
      <c r="C49" s="119" t="s">
        <v>134</v>
      </c>
      <c r="D49" s="120">
        <v>2</v>
      </c>
      <c r="E49" s="120" t="s">
        <v>1</v>
      </c>
      <c r="F49" s="120">
        <v>0</v>
      </c>
      <c r="G49" s="119" t="s">
        <v>132</v>
      </c>
      <c r="K49" s="8" t="str">
        <f t="shared" si="3"/>
        <v>Colômbia</v>
      </c>
      <c r="L49" s="9">
        <f t="shared" si="4"/>
        <v>2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R49" s="100"/>
      <c r="S49" s="52"/>
      <c r="T49" s="52"/>
      <c r="U49" s="52"/>
      <c r="V49" s="100"/>
    </row>
    <row r="50" spans="1:26" x14ac:dyDescent="0.3">
      <c r="A50" s="67">
        <v>46197</v>
      </c>
      <c r="B50" s="65">
        <v>0.66666666666666663</v>
      </c>
      <c r="C50" s="68" t="s">
        <v>74</v>
      </c>
      <c r="D50" s="69">
        <v>1</v>
      </c>
      <c r="E50" s="69" t="s">
        <v>1</v>
      </c>
      <c r="F50" s="69">
        <v>0</v>
      </c>
      <c r="G50" s="68" t="s">
        <v>110</v>
      </c>
      <c r="K50" s="8" t="str">
        <f t="shared" si="3"/>
        <v>Suíça</v>
      </c>
      <c r="L50" s="9">
        <f t="shared" si="4"/>
        <v>1</v>
      </c>
      <c r="M50" s="9">
        <f t="shared" si="5"/>
        <v>0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58"/>
      <c r="R50" s="159"/>
      <c r="S50" s="159"/>
      <c r="T50" s="159"/>
      <c r="U50" s="158"/>
      <c r="V50" s="160"/>
      <c r="W50" s="160"/>
      <c r="X50" s="160"/>
      <c r="Y50" s="160"/>
      <c r="Z50" s="160"/>
    </row>
    <row r="51" spans="1:26" x14ac:dyDescent="0.3">
      <c r="A51" s="67">
        <v>46197</v>
      </c>
      <c r="B51" s="65">
        <v>0.66666666666666663</v>
      </c>
      <c r="C51" s="68" t="s">
        <v>117</v>
      </c>
      <c r="D51" s="69">
        <v>1</v>
      </c>
      <c r="E51" s="69" t="s">
        <v>1</v>
      </c>
      <c r="F51" s="69">
        <v>0</v>
      </c>
      <c r="G51" s="68" t="s">
        <v>99</v>
      </c>
      <c r="K51" s="8" t="str">
        <f t="shared" si="3"/>
        <v>Bósnia</v>
      </c>
      <c r="L51" s="9">
        <f t="shared" si="4"/>
        <v>1</v>
      </c>
      <c r="M51" s="9">
        <f t="shared" si="5"/>
        <v>0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58"/>
      <c r="R51" s="159"/>
      <c r="S51" s="159"/>
      <c r="T51" s="159"/>
      <c r="U51" s="158"/>
      <c r="V51" s="160"/>
      <c r="W51" s="160"/>
      <c r="X51" s="160"/>
      <c r="Y51" s="160"/>
      <c r="Z51" s="160"/>
    </row>
    <row r="52" spans="1:26" x14ac:dyDescent="0.3">
      <c r="A52" s="67">
        <v>46197</v>
      </c>
      <c r="B52" s="65">
        <v>0.79166666666666663</v>
      </c>
      <c r="C52" s="70" t="s">
        <v>4</v>
      </c>
      <c r="D52" s="69">
        <v>2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2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61"/>
      <c r="R52" s="159"/>
      <c r="S52" s="159"/>
      <c r="T52" s="159"/>
      <c r="U52" s="161"/>
      <c r="V52" s="160"/>
      <c r="W52" s="160"/>
      <c r="X52" s="160"/>
      <c r="Y52" s="160"/>
      <c r="Z52" s="160"/>
    </row>
    <row r="53" spans="1:26" x14ac:dyDescent="0.3">
      <c r="A53" s="67">
        <v>46197</v>
      </c>
      <c r="B53" s="65">
        <v>0.79166666666666663</v>
      </c>
      <c r="C53" s="70" t="s">
        <v>119</v>
      </c>
      <c r="D53" s="69">
        <v>0</v>
      </c>
      <c r="E53" s="69" t="s">
        <v>1</v>
      </c>
      <c r="F53" s="69">
        <v>2</v>
      </c>
      <c r="G53" s="70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0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61"/>
      <c r="R53" s="159"/>
      <c r="S53" s="159"/>
      <c r="T53" s="159"/>
      <c r="U53" s="161"/>
      <c r="V53" s="160"/>
      <c r="W53" s="160"/>
      <c r="X53" s="160"/>
      <c r="Y53" s="160"/>
      <c r="Z53" s="160"/>
    </row>
    <row r="54" spans="1:26" x14ac:dyDescent="0.3">
      <c r="A54" s="64">
        <v>46197</v>
      </c>
      <c r="B54" s="65">
        <v>0.91666666666666663</v>
      </c>
      <c r="C54" s="66" t="s">
        <v>90</v>
      </c>
      <c r="D54" s="49">
        <v>1</v>
      </c>
      <c r="E54" s="49" t="s">
        <v>1</v>
      </c>
      <c r="F54" s="49">
        <v>1</v>
      </c>
      <c r="G54" s="66" t="s">
        <v>15</v>
      </c>
      <c r="K54" s="8" t="str">
        <f t="shared" si="3"/>
        <v>EMPATE</v>
      </c>
      <c r="L54" s="9">
        <f t="shared" si="4"/>
        <v>1</v>
      </c>
      <c r="M54" s="9">
        <f t="shared" si="5"/>
        <v>1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58"/>
      <c r="R54" s="159"/>
      <c r="S54" s="159"/>
      <c r="T54" s="159"/>
      <c r="U54" s="158"/>
      <c r="V54" s="160"/>
      <c r="W54" s="160"/>
      <c r="X54" s="160"/>
      <c r="Y54" s="160"/>
      <c r="Z54" s="160"/>
    </row>
    <row r="55" spans="1:26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1</v>
      </c>
      <c r="G55" s="66" t="s">
        <v>13</v>
      </c>
      <c r="K55" s="8" t="str">
        <f t="shared" si="3"/>
        <v>EMPATE</v>
      </c>
      <c r="L55" s="9">
        <f t="shared" si="4"/>
        <v>1</v>
      </c>
      <c r="M55" s="9">
        <f t="shared" si="5"/>
        <v>1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58"/>
      <c r="R55" s="159"/>
      <c r="S55" s="159"/>
      <c r="T55" s="159"/>
      <c r="U55" s="158"/>
      <c r="V55" s="160"/>
      <c r="W55" s="160"/>
      <c r="X55" s="160"/>
      <c r="Y55" s="160"/>
      <c r="Z55" s="160"/>
    </row>
    <row r="56" spans="1:26" x14ac:dyDescent="0.3">
      <c r="A56" s="64">
        <v>46198</v>
      </c>
      <c r="B56" s="65">
        <v>0.70833333333333337</v>
      </c>
      <c r="C56" s="48" t="s">
        <v>107</v>
      </c>
      <c r="D56" s="49">
        <v>1</v>
      </c>
      <c r="E56" s="49" t="s">
        <v>1</v>
      </c>
      <c r="F56" s="49">
        <v>2</v>
      </c>
      <c r="G56" s="48" t="s">
        <v>12</v>
      </c>
      <c r="K56" s="8" t="str">
        <f t="shared" si="3"/>
        <v>Alemanha</v>
      </c>
      <c r="L56" s="9">
        <f t="shared" si="4"/>
        <v>2</v>
      </c>
      <c r="M56" s="9">
        <f t="shared" si="5"/>
        <v>1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61"/>
      <c r="R56" s="159"/>
      <c r="S56" s="159"/>
      <c r="T56" s="159"/>
      <c r="U56" s="161"/>
      <c r="V56" s="160"/>
      <c r="W56" s="160"/>
      <c r="X56" s="160"/>
      <c r="Y56" s="160"/>
      <c r="Z56" s="160"/>
    </row>
    <row r="57" spans="1:26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2</v>
      </c>
      <c r="G57" s="48" t="s">
        <v>123</v>
      </c>
      <c r="K57" s="8" t="str">
        <f t="shared" si="3"/>
        <v>Costa do Marfim</v>
      </c>
      <c r="L57" s="9">
        <f t="shared" si="4"/>
        <v>2</v>
      </c>
      <c r="M57" s="9">
        <f t="shared" si="5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61"/>
      <c r="R57" s="159"/>
      <c r="S57" s="159"/>
      <c r="T57" s="159"/>
      <c r="U57" s="161"/>
      <c r="V57" s="160"/>
      <c r="W57" s="160"/>
      <c r="X57" s="160"/>
      <c r="Y57" s="160"/>
      <c r="Z57" s="160"/>
    </row>
    <row r="58" spans="1:26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2</v>
      </c>
      <c r="G58" s="48" t="s">
        <v>80</v>
      </c>
      <c r="K58" s="8" t="str">
        <f t="shared" si="3"/>
        <v>Holanda</v>
      </c>
      <c r="L58" s="9">
        <f t="shared" si="4"/>
        <v>2</v>
      </c>
      <c r="M58" s="9">
        <f t="shared" si="5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61"/>
      <c r="R58" s="159"/>
      <c r="S58" s="159"/>
      <c r="T58" s="159"/>
      <c r="U58" s="161"/>
      <c r="V58" s="160"/>
      <c r="W58" s="160"/>
      <c r="X58" s="160"/>
      <c r="Y58" s="160"/>
      <c r="Z58" s="160"/>
    </row>
    <row r="59" spans="1:26" x14ac:dyDescent="0.3">
      <c r="A59" s="64">
        <v>46198</v>
      </c>
      <c r="B59" s="65">
        <v>0.83333333333333337</v>
      </c>
      <c r="C59" s="48" t="s">
        <v>19</v>
      </c>
      <c r="D59" s="49">
        <v>1</v>
      </c>
      <c r="E59" s="49" t="s">
        <v>1</v>
      </c>
      <c r="F59" s="49">
        <v>1</v>
      </c>
      <c r="G59" s="48" t="s">
        <v>14</v>
      </c>
      <c r="K59" s="8" t="str">
        <f t="shared" si="3"/>
        <v>EMPATE</v>
      </c>
      <c r="L59" s="9">
        <f t="shared" si="4"/>
        <v>1</v>
      </c>
      <c r="M59" s="9">
        <f t="shared" si="5"/>
        <v>1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61"/>
      <c r="R59" s="159"/>
      <c r="S59" s="159"/>
      <c r="T59" s="159"/>
      <c r="U59" s="161"/>
      <c r="V59" s="160"/>
      <c r="W59" s="160"/>
      <c r="X59" s="160"/>
      <c r="Y59" s="160"/>
      <c r="Z59" s="160"/>
    </row>
    <row r="60" spans="1:26" x14ac:dyDescent="0.3">
      <c r="A60" s="64">
        <v>46198</v>
      </c>
      <c r="B60" s="65">
        <v>0.95833333333333337</v>
      </c>
      <c r="C60" s="48" t="s">
        <v>121</v>
      </c>
      <c r="D60" s="49">
        <v>1</v>
      </c>
      <c r="E60" s="49" t="s">
        <v>1</v>
      </c>
      <c r="F60" s="49">
        <v>1</v>
      </c>
      <c r="G60" s="48" t="s">
        <v>109</v>
      </c>
      <c r="K60" s="8" t="str">
        <f t="shared" si="3"/>
        <v>EMPATE</v>
      </c>
      <c r="L60" s="9">
        <f t="shared" si="4"/>
        <v>1</v>
      </c>
      <c r="M60" s="9">
        <f t="shared" si="5"/>
        <v>1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61"/>
      <c r="R60" s="159"/>
      <c r="S60" s="159"/>
      <c r="T60" s="159"/>
      <c r="U60" s="161"/>
      <c r="V60" s="160"/>
      <c r="W60" s="160"/>
      <c r="X60" s="160"/>
      <c r="Y60" s="160"/>
      <c r="Z60" s="160"/>
    </row>
    <row r="61" spans="1:26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1</v>
      </c>
      <c r="G61" s="48" t="s">
        <v>8</v>
      </c>
      <c r="K61" s="8" t="str">
        <f t="shared" si="3"/>
        <v>EMPATE</v>
      </c>
      <c r="L61" s="9">
        <f t="shared" si="4"/>
        <v>1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61"/>
      <c r="R61" s="159"/>
      <c r="S61" s="159"/>
      <c r="T61" s="159"/>
      <c r="U61" s="161"/>
      <c r="V61" s="160"/>
      <c r="W61" s="160"/>
      <c r="X61" s="160"/>
      <c r="Y61" s="160"/>
      <c r="Z61" s="160"/>
    </row>
    <row r="62" spans="1:26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0</v>
      </c>
      <c r="G62" s="48" t="s">
        <v>127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61"/>
      <c r="R62" s="159"/>
      <c r="S62" s="159"/>
      <c r="T62" s="159"/>
      <c r="U62" s="161"/>
      <c r="V62" s="160"/>
      <c r="W62" s="160"/>
      <c r="X62" s="160"/>
      <c r="Y62" s="160"/>
      <c r="Z62" s="160"/>
    </row>
    <row r="63" spans="1:26" x14ac:dyDescent="0.3">
      <c r="A63" s="64">
        <v>46199</v>
      </c>
      <c r="B63" s="65">
        <v>0.66666666666666663</v>
      </c>
      <c r="C63" s="48" t="s">
        <v>128</v>
      </c>
      <c r="D63" s="49">
        <v>1</v>
      </c>
      <c r="E63" s="49" t="s">
        <v>1</v>
      </c>
      <c r="F63" s="49">
        <v>2</v>
      </c>
      <c r="G63" s="48" t="s">
        <v>7</v>
      </c>
      <c r="K63" s="8" t="str">
        <f t="shared" si="3"/>
        <v>França</v>
      </c>
      <c r="L63" s="9">
        <f t="shared" si="4"/>
        <v>2</v>
      </c>
      <c r="M63" s="9">
        <f t="shared" si="5"/>
        <v>1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61"/>
      <c r="R63" s="159"/>
      <c r="S63" s="159"/>
      <c r="T63" s="159"/>
      <c r="U63" s="161"/>
      <c r="V63" s="160"/>
      <c r="W63" s="160"/>
      <c r="X63" s="160"/>
      <c r="Y63" s="160"/>
      <c r="Z63" s="160"/>
    </row>
    <row r="64" spans="1:26" x14ac:dyDescent="0.3">
      <c r="A64" s="64">
        <v>46199</v>
      </c>
      <c r="B64" s="65">
        <v>0.875</v>
      </c>
      <c r="C64" s="48" t="s">
        <v>126</v>
      </c>
      <c r="D64" s="49">
        <v>1</v>
      </c>
      <c r="E64" s="49" t="s">
        <v>1</v>
      </c>
      <c r="F64" s="49">
        <v>1</v>
      </c>
      <c r="G64" s="48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61"/>
      <c r="R64" s="159"/>
      <c r="S64" s="159"/>
      <c r="T64" s="159"/>
      <c r="U64" s="161"/>
      <c r="V64" s="160"/>
      <c r="W64" s="160"/>
      <c r="X64" s="160"/>
      <c r="Y64" s="160"/>
      <c r="Z64" s="160"/>
    </row>
    <row r="65" spans="1:26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2</v>
      </c>
      <c r="G65" s="48" t="s">
        <v>6</v>
      </c>
      <c r="K65" s="8" t="str">
        <f t="shared" si="3"/>
        <v>Espanha</v>
      </c>
      <c r="L65" s="9">
        <f t="shared" si="4"/>
        <v>2</v>
      </c>
      <c r="M65" s="9">
        <f t="shared" si="5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61"/>
      <c r="R65" s="159"/>
      <c r="S65" s="159"/>
      <c r="T65" s="159"/>
      <c r="U65" s="161"/>
      <c r="V65" s="160"/>
      <c r="W65" s="160"/>
      <c r="X65" s="160"/>
      <c r="Y65" s="160"/>
      <c r="Z65" s="160"/>
    </row>
    <row r="66" spans="1:26" x14ac:dyDescent="0.3">
      <c r="A66" s="64">
        <v>46200</v>
      </c>
      <c r="B66" s="65">
        <v>0</v>
      </c>
      <c r="C66" s="48" t="s">
        <v>124</v>
      </c>
      <c r="D66" s="49">
        <v>1</v>
      </c>
      <c r="E66" s="49" t="s">
        <v>1</v>
      </c>
      <c r="F66" s="49">
        <v>0</v>
      </c>
      <c r="G66" s="48" t="s">
        <v>108</v>
      </c>
      <c r="K66" s="8" t="str">
        <f t="shared" si="3"/>
        <v>Egito</v>
      </c>
      <c r="L66" s="9">
        <f t="shared" si="4"/>
        <v>1</v>
      </c>
      <c r="M66" s="9">
        <f t="shared" si="5"/>
        <v>0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61"/>
      <c r="R66" s="159"/>
      <c r="S66" s="159"/>
      <c r="T66" s="159"/>
      <c r="U66" s="161"/>
      <c r="V66" s="160"/>
      <c r="W66" s="160"/>
      <c r="X66" s="160"/>
      <c r="Y66" s="160"/>
      <c r="Z66" s="160"/>
    </row>
    <row r="67" spans="1:26" x14ac:dyDescent="0.3">
      <c r="A67" s="64">
        <v>46200</v>
      </c>
      <c r="B67" s="65">
        <v>0</v>
      </c>
      <c r="C67" s="48" t="s">
        <v>125</v>
      </c>
      <c r="D67" s="49">
        <v>1</v>
      </c>
      <c r="E67" s="49" t="s">
        <v>1</v>
      </c>
      <c r="F67" s="49">
        <v>2</v>
      </c>
      <c r="G67" s="48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61"/>
      <c r="R67" s="159"/>
      <c r="S67" s="159"/>
      <c r="T67" s="159"/>
      <c r="U67" s="161"/>
      <c r="V67" s="160"/>
      <c r="W67" s="160"/>
      <c r="X67" s="160"/>
      <c r="Y67" s="160"/>
      <c r="Z67" s="160"/>
    </row>
    <row r="68" spans="1:26" x14ac:dyDescent="0.3">
      <c r="A68" s="64">
        <v>46200</v>
      </c>
      <c r="B68" s="65">
        <v>0.75</v>
      </c>
      <c r="C68" s="48" t="s">
        <v>10</v>
      </c>
      <c r="D68" s="49">
        <v>1</v>
      </c>
      <c r="E68" s="49" t="s">
        <v>1</v>
      </c>
      <c r="F68" s="49">
        <v>1</v>
      </c>
      <c r="G68" s="48" t="s">
        <v>111</v>
      </c>
      <c r="K68" s="8" t="str">
        <f t="shared" ref="K68:K72" si="7">IF(D68="","",IF(D68&gt;F68,C68,IF(F68&gt;D68,G68,"EMPATE")))</f>
        <v>EMPATE</v>
      </c>
      <c r="L68" s="9">
        <f t="shared" ref="L68:L72" si="8">IF(D68="","",IF(D68&gt;F68,D68,IF(F68&gt;D68,F68,D68)))</f>
        <v>1</v>
      </c>
      <c r="M68" s="9">
        <f t="shared" ref="M68:M72" si="9">IF(D68="","",IF(D68&lt;F68,D68,IF(F68&lt;D68,F68,D68)))</f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61"/>
      <c r="R68" s="159"/>
      <c r="S68" s="159"/>
      <c r="T68" s="159"/>
      <c r="U68" s="161"/>
      <c r="V68" s="160"/>
      <c r="W68" s="160"/>
      <c r="X68" s="160"/>
      <c r="Y68" s="160"/>
      <c r="Z68" s="160"/>
    </row>
    <row r="69" spans="1:26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2</v>
      </c>
      <c r="G69" s="48" t="s">
        <v>18</v>
      </c>
      <c r="K69" s="8" t="str">
        <f t="shared" si="7"/>
        <v>Inglaterra</v>
      </c>
      <c r="L69" s="9">
        <f t="shared" si="8"/>
        <v>2</v>
      </c>
      <c r="M69" s="9">
        <f t="shared" si="9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61"/>
      <c r="R69" s="159"/>
      <c r="S69" s="159"/>
      <c r="T69" s="159"/>
      <c r="U69" s="161"/>
      <c r="V69" s="160"/>
      <c r="W69" s="160"/>
      <c r="X69" s="160"/>
      <c r="Y69" s="160"/>
      <c r="Z69" s="160"/>
    </row>
    <row r="70" spans="1:26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1</v>
      </c>
      <c r="G70" s="48" t="s">
        <v>133</v>
      </c>
      <c r="K70" s="8" t="str">
        <f t="shared" si="7"/>
        <v>EMPATE</v>
      </c>
      <c r="L70" s="9">
        <f t="shared" si="8"/>
        <v>1</v>
      </c>
      <c r="M70" s="9">
        <f t="shared" si="9"/>
        <v>1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61"/>
      <c r="R70" s="159"/>
      <c r="S70" s="159"/>
      <c r="T70" s="159"/>
      <c r="U70" s="161"/>
      <c r="V70" s="160"/>
      <c r="W70" s="160"/>
      <c r="X70" s="160"/>
      <c r="Y70" s="160"/>
      <c r="Z70" s="160"/>
    </row>
    <row r="71" spans="1:26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2</v>
      </c>
      <c r="G71" s="48" t="s">
        <v>5</v>
      </c>
      <c r="K71" s="8" t="str">
        <f t="shared" si="7"/>
        <v>Portugal</v>
      </c>
      <c r="L71" s="9">
        <f t="shared" si="8"/>
        <v>2</v>
      </c>
      <c r="M71" s="9">
        <f t="shared" si="9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61"/>
      <c r="R71" s="159"/>
      <c r="S71" s="159"/>
      <c r="T71" s="159"/>
      <c r="U71" s="161"/>
      <c r="V71" s="160"/>
      <c r="W71" s="160"/>
      <c r="X71" s="160"/>
      <c r="Y71" s="160"/>
      <c r="Z71" s="160"/>
    </row>
    <row r="72" spans="1:26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2</v>
      </c>
      <c r="G72" s="48" t="s">
        <v>9</v>
      </c>
      <c r="K72" s="8" t="str">
        <f t="shared" si="7"/>
        <v>Argentina</v>
      </c>
      <c r="L72" s="9">
        <f t="shared" si="8"/>
        <v>2</v>
      </c>
      <c r="M72" s="9">
        <f t="shared" si="9"/>
        <v>0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61"/>
      <c r="R72" s="159"/>
      <c r="S72" s="159"/>
      <c r="T72" s="159"/>
      <c r="U72" s="161"/>
      <c r="V72" s="160"/>
      <c r="W72" s="160"/>
      <c r="X72" s="160"/>
      <c r="Y72" s="160"/>
      <c r="Z72" s="160"/>
    </row>
    <row r="73" spans="1:26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1</v>
      </c>
      <c r="G73" s="48" t="s">
        <v>130</v>
      </c>
      <c r="K73" s="8" t="str">
        <f t="shared" ref="K73:K105" si="10">IF(D73="","",IF(D73&gt;F73,C73,IF(F73&gt;D73,G73,"EMPATE")))</f>
        <v>EMPATE</v>
      </c>
      <c r="L73" s="9">
        <f t="shared" ref="L73:L105" si="11">IF(D73="","",IF(D73&gt;F73,D73,IF(F73&gt;D73,F73,D73)))</f>
        <v>1</v>
      </c>
      <c r="M73" s="9">
        <f t="shared" ref="M73:M105" si="12">IF(D73="","",IF(D73&lt;F73,D73,IF(F73&lt;D73,F73,D73)))</f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61"/>
      <c r="R73" s="159"/>
      <c r="S73" s="159"/>
      <c r="T73" s="159"/>
      <c r="U73" s="161"/>
      <c r="V73" s="160"/>
      <c r="W73" s="160"/>
      <c r="X73" s="160"/>
      <c r="Y73" s="160"/>
      <c r="Z73" s="160"/>
    </row>
    <row r="74" spans="1:26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 spans="1:26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6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6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6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6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6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F7FD-8A53-43C8-9755-2D691B319CB2}">
  <dimension ref="A1:U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93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1</v>
      </c>
      <c r="G2" s="66" t="s">
        <v>90</v>
      </c>
      <c r="H2" s="155"/>
      <c r="I2" s="149"/>
      <c r="J2" s="156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6</v>
      </c>
    </row>
    <row r="3" spans="1:15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64">
        <v>46185</v>
      </c>
      <c r="B4" s="65">
        <v>0.66666666666666663</v>
      </c>
      <c r="C4" s="66" t="s">
        <v>110</v>
      </c>
      <c r="D4" s="49">
        <v>2</v>
      </c>
      <c r="E4" s="49" t="s">
        <v>1</v>
      </c>
      <c r="F4" s="49">
        <v>0</v>
      </c>
      <c r="G4" s="66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1</v>
      </c>
      <c r="G5" s="66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64">
        <v>46186</v>
      </c>
      <c r="B6" s="65">
        <v>0.66666666666666663</v>
      </c>
      <c r="C6" s="66" t="s">
        <v>99</v>
      </c>
      <c r="D6" s="49">
        <v>1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1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64">
        <v>46186</v>
      </c>
      <c r="B7" s="65">
        <v>0.79166666666666663</v>
      </c>
      <c r="C7" s="66" t="s">
        <v>11</v>
      </c>
      <c r="D7" s="49">
        <v>3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5</v>
      </c>
      <c r="J7" s="15">
        <f>H7*I7</f>
        <v>45</v>
      </c>
      <c r="K7" s="8" t="str">
        <f t="shared" si="3"/>
        <v>Brasil</v>
      </c>
      <c r="L7" s="9">
        <f t="shared" si="4"/>
        <v>3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64">
        <v>46186</v>
      </c>
      <c r="B8" s="65">
        <v>0.91666666666666663</v>
      </c>
      <c r="C8" s="66" t="s">
        <v>118</v>
      </c>
      <c r="D8" s="49">
        <v>0</v>
      </c>
      <c r="E8" s="49" t="s">
        <v>1</v>
      </c>
      <c r="F8" s="49">
        <v>2</v>
      </c>
      <c r="G8" s="66" t="s">
        <v>119</v>
      </c>
      <c r="H8" s="15">
        <v>6</v>
      </c>
      <c r="I8" s="15">
        <f>COUNTIF($O$2:$O$65,6)</f>
        <v>3</v>
      </c>
      <c r="J8" s="15">
        <f t="shared" ref="J8:J11" si="6">H8*I8</f>
        <v>18</v>
      </c>
      <c r="K8" s="8" t="str">
        <f t="shared" si="3"/>
        <v>Escócia</v>
      </c>
      <c r="L8" s="9">
        <f t="shared" si="4"/>
        <v>2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</row>
    <row r="9" spans="1:15" ht="15.75" customHeight="1" x14ac:dyDescent="0.3">
      <c r="A9" s="64">
        <v>46187</v>
      </c>
      <c r="B9" s="65">
        <v>4.1666666666666657E-2</v>
      </c>
      <c r="C9" s="66" t="s">
        <v>8</v>
      </c>
      <c r="D9" s="49">
        <v>1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7</v>
      </c>
      <c r="J9" s="15">
        <f t="shared" si="6"/>
        <v>28</v>
      </c>
      <c r="K9" s="8" t="str">
        <f t="shared" si="3"/>
        <v>Turquia</v>
      </c>
      <c r="L9" s="9">
        <f t="shared" si="4"/>
        <v>2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64">
        <v>46187</v>
      </c>
      <c r="B10" s="65">
        <v>0.58333333333333337</v>
      </c>
      <c r="C10" s="66" t="s">
        <v>12</v>
      </c>
      <c r="D10" s="49">
        <v>4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9</v>
      </c>
      <c r="J10" s="15">
        <f t="shared" si="6"/>
        <v>27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64">
        <v>46187</v>
      </c>
      <c r="B11" s="65">
        <v>0.70833333333333337</v>
      </c>
      <c r="C11" s="66" t="s">
        <v>80</v>
      </c>
      <c r="D11" s="49">
        <v>2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20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2</v>
      </c>
      <c r="G12" s="66" t="s">
        <v>107</v>
      </c>
      <c r="H12" s="15"/>
      <c r="I12" s="16" t="s">
        <v>48</v>
      </c>
      <c r="J12" s="17">
        <f>SUM(J7:J11)</f>
        <v>118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64">
        <v>46187</v>
      </c>
      <c r="B13" s="65">
        <v>0.95833333333333337</v>
      </c>
      <c r="C13" s="66" t="s">
        <v>14</v>
      </c>
      <c r="D13" s="49">
        <v>2</v>
      </c>
      <c r="E13" s="49" t="s">
        <v>1</v>
      </c>
      <c r="F13" s="49">
        <v>0</v>
      </c>
      <c r="G13" s="66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3">
      <c r="A14" s="64">
        <v>46188</v>
      </c>
      <c r="B14" s="65">
        <v>0.54166666666666663</v>
      </c>
      <c r="C14" s="66" t="s">
        <v>6</v>
      </c>
      <c r="D14" s="49">
        <v>4</v>
      </c>
      <c r="E14" s="49" t="s">
        <v>1</v>
      </c>
      <c r="F14" s="49">
        <v>0</v>
      </c>
      <c r="G14" s="66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64">
        <v>46188</v>
      </c>
      <c r="B15" s="65">
        <v>0.66666666666666663</v>
      </c>
      <c r="C15" s="66" t="s">
        <v>16</v>
      </c>
      <c r="D15" s="49">
        <v>3</v>
      </c>
      <c r="E15" s="49" t="s">
        <v>1</v>
      </c>
      <c r="F15" s="49">
        <v>0</v>
      </c>
      <c r="G15" s="66" t="s">
        <v>124</v>
      </c>
      <c r="K15" s="8" t="str">
        <f t="shared" si="3"/>
        <v>Bélgica</v>
      </c>
      <c r="L15" s="9">
        <f t="shared" si="4"/>
        <v>3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64">
        <v>46188</v>
      </c>
      <c r="B16" s="65">
        <v>0.79166666666666663</v>
      </c>
      <c r="C16" s="66" t="s">
        <v>2</v>
      </c>
      <c r="D16" s="49">
        <v>1</v>
      </c>
      <c r="E16" s="49" t="s">
        <v>1</v>
      </c>
      <c r="F16" s="49">
        <v>2</v>
      </c>
      <c r="G16" s="66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64">
        <v>46188</v>
      </c>
      <c r="B17" s="65">
        <v>0.91666666666666663</v>
      </c>
      <c r="C17" s="66" t="s">
        <v>108</v>
      </c>
      <c r="D17" s="49">
        <v>2</v>
      </c>
      <c r="E17" s="49" t="s">
        <v>1</v>
      </c>
      <c r="F17" s="49">
        <v>0</v>
      </c>
      <c r="G17" s="66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3">
      <c r="A18" s="64">
        <v>46189</v>
      </c>
      <c r="B18" s="65">
        <v>0.66666666666666663</v>
      </c>
      <c r="C18" s="66" t="s">
        <v>7</v>
      </c>
      <c r="D18" s="49">
        <v>3</v>
      </c>
      <c r="E18" s="49" t="s">
        <v>1</v>
      </c>
      <c r="F18" s="49">
        <v>1</v>
      </c>
      <c r="G18" s="66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</row>
    <row r="19" spans="1:21" x14ac:dyDescent="0.3">
      <c r="A19" s="64">
        <v>46189</v>
      </c>
      <c r="B19" s="65">
        <v>0.79166666666666663</v>
      </c>
      <c r="C19" s="66" t="s">
        <v>127</v>
      </c>
      <c r="D19" s="49">
        <v>0</v>
      </c>
      <c r="E19" s="49" t="s">
        <v>1</v>
      </c>
      <c r="F19" s="49">
        <v>2</v>
      </c>
      <c r="G19" s="66" t="s">
        <v>128</v>
      </c>
      <c r="K19" s="8" t="str">
        <f t="shared" si="3"/>
        <v>Noruega</v>
      </c>
      <c r="L19" s="9">
        <f t="shared" si="4"/>
        <v>2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0</v>
      </c>
      <c r="G20" s="66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1" x14ac:dyDescent="0.3">
      <c r="A21" s="64">
        <v>46190</v>
      </c>
      <c r="B21" s="65">
        <v>4.1666666666666657E-2</v>
      </c>
      <c r="C21" s="66" t="s">
        <v>130</v>
      </c>
      <c r="D21" s="49">
        <v>2</v>
      </c>
      <c r="E21" s="49" t="s">
        <v>1</v>
      </c>
      <c r="F21" s="49">
        <v>0</v>
      </c>
      <c r="G21" s="66" t="s">
        <v>131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64">
        <v>46190</v>
      </c>
      <c r="B22" s="65">
        <v>0.58333333333333337</v>
      </c>
      <c r="C22" s="66" t="s">
        <v>5</v>
      </c>
      <c r="D22" s="49">
        <v>3</v>
      </c>
      <c r="E22" s="49" t="s">
        <v>1</v>
      </c>
      <c r="F22" s="49">
        <v>0</v>
      </c>
      <c r="G22" s="66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64">
        <v>46190</v>
      </c>
      <c r="B23" s="65">
        <v>0.70833333333333337</v>
      </c>
      <c r="C23" s="66" t="s">
        <v>18</v>
      </c>
      <c r="D23" s="49">
        <v>2</v>
      </c>
      <c r="E23" s="49" t="s">
        <v>1</v>
      </c>
      <c r="F23" s="49">
        <v>1</v>
      </c>
      <c r="G23" s="66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</row>
    <row r="24" spans="1:21" x14ac:dyDescent="0.3">
      <c r="A24" s="64">
        <v>46190</v>
      </c>
      <c r="B24" s="65">
        <v>0.83333333333333337</v>
      </c>
      <c r="C24" s="66" t="s">
        <v>111</v>
      </c>
      <c r="D24" s="49">
        <v>2</v>
      </c>
      <c r="E24" s="49" t="s">
        <v>1</v>
      </c>
      <c r="F24" s="49">
        <v>1</v>
      </c>
      <c r="G24" s="66" t="s">
        <v>135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64">
        <v>46190</v>
      </c>
      <c r="B25" s="65">
        <v>0.95833333333333337</v>
      </c>
      <c r="C25" s="66" t="s">
        <v>133</v>
      </c>
      <c r="D25" s="49">
        <v>0</v>
      </c>
      <c r="E25" s="49" t="s">
        <v>1</v>
      </c>
      <c r="F25" s="49">
        <v>2</v>
      </c>
      <c r="G25" s="66" t="s">
        <v>134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</row>
    <row r="26" spans="1:21" x14ac:dyDescent="0.3">
      <c r="A26" s="114">
        <v>46191</v>
      </c>
      <c r="B26" s="115">
        <v>0.54166666666666663</v>
      </c>
      <c r="C26" s="116" t="s">
        <v>116</v>
      </c>
      <c r="D26" s="117">
        <v>1</v>
      </c>
      <c r="E26" s="117" t="s">
        <v>1</v>
      </c>
      <c r="F26" s="117">
        <v>1</v>
      </c>
      <c r="G26" s="116" t="s">
        <v>90</v>
      </c>
      <c r="K26" s="8" t="str">
        <f t="shared" si="3"/>
        <v>EMPATE</v>
      </c>
      <c r="L26" s="9">
        <f t="shared" si="4"/>
        <v>1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9</v>
      </c>
      <c r="Q26" s="100"/>
      <c r="R26" s="125"/>
      <c r="S26" s="125"/>
      <c r="T26" s="125"/>
      <c r="U26" s="100"/>
    </row>
    <row r="27" spans="1:21" x14ac:dyDescent="0.3">
      <c r="A27" s="114">
        <v>46191</v>
      </c>
      <c r="B27" s="115">
        <v>0.66666666666666663</v>
      </c>
      <c r="C27" s="116" t="s">
        <v>74</v>
      </c>
      <c r="D27" s="117">
        <v>2</v>
      </c>
      <c r="E27" s="117" t="s">
        <v>1</v>
      </c>
      <c r="F27" s="117">
        <v>1</v>
      </c>
      <c r="G27" s="116" t="s">
        <v>117</v>
      </c>
      <c r="K27" s="8" t="str">
        <f t="shared" si="3"/>
        <v>Suíça</v>
      </c>
      <c r="L27" s="9">
        <f t="shared" si="4"/>
        <v>2</v>
      </c>
      <c r="M27" s="9">
        <f t="shared" si="5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4</v>
      </c>
      <c r="Q27" s="100"/>
      <c r="R27" s="125"/>
      <c r="S27" s="125"/>
      <c r="T27" s="125"/>
      <c r="U27" s="100"/>
    </row>
    <row r="28" spans="1:21" x14ac:dyDescent="0.3">
      <c r="A28" s="114">
        <v>46191</v>
      </c>
      <c r="B28" s="115">
        <v>0.79166666666666663</v>
      </c>
      <c r="C28" s="116" t="s">
        <v>110</v>
      </c>
      <c r="D28" s="117">
        <v>1</v>
      </c>
      <c r="E28" s="117" t="s">
        <v>1</v>
      </c>
      <c r="F28" s="117">
        <v>1</v>
      </c>
      <c r="G28" s="116" t="s">
        <v>99</v>
      </c>
      <c r="K28" s="8" t="str">
        <f t="shared" si="3"/>
        <v>EMPATE</v>
      </c>
      <c r="L28" s="9">
        <f t="shared" si="4"/>
        <v>1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0</v>
      </c>
      <c r="Q28" s="100"/>
      <c r="R28" s="125"/>
      <c r="S28" s="125"/>
      <c r="T28" s="125"/>
      <c r="U28" s="100"/>
    </row>
    <row r="29" spans="1:21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1</v>
      </c>
      <c r="G29" s="116" t="s">
        <v>15</v>
      </c>
      <c r="K29" s="8" t="str">
        <f t="shared" si="3"/>
        <v>México</v>
      </c>
      <c r="L29" s="9">
        <f t="shared" si="4"/>
        <v>2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100"/>
      <c r="R29" s="125"/>
      <c r="S29" s="125"/>
      <c r="T29" s="125"/>
      <c r="U29" s="100"/>
    </row>
    <row r="30" spans="1:21" x14ac:dyDescent="0.3">
      <c r="A30" s="114">
        <v>46192</v>
      </c>
      <c r="B30" s="115">
        <v>0.66666666666666663</v>
      </c>
      <c r="C30" s="116" t="s">
        <v>109</v>
      </c>
      <c r="D30" s="117">
        <v>2</v>
      </c>
      <c r="E30" s="117" t="s">
        <v>1</v>
      </c>
      <c r="F30" s="117">
        <v>1</v>
      </c>
      <c r="G30" s="116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Q30" s="100"/>
      <c r="R30" s="125"/>
      <c r="S30" s="125"/>
      <c r="T30" s="125"/>
      <c r="U30" s="100"/>
    </row>
    <row r="31" spans="1:21" x14ac:dyDescent="0.3">
      <c r="A31" s="114">
        <v>46192</v>
      </c>
      <c r="B31" s="115">
        <v>0.79166666666666663</v>
      </c>
      <c r="C31" s="116" t="s">
        <v>119</v>
      </c>
      <c r="D31" s="117">
        <v>1</v>
      </c>
      <c r="E31" s="117" t="s">
        <v>1</v>
      </c>
      <c r="F31" s="117">
        <v>1</v>
      </c>
      <c r="G31" s="116" t="s">
        <v>4</v>
      </c>
      <c r="K31" s="8" t="str">
        <f t="shared" si="3"/>
        <v>EMPATE</v>
      </c>
      <c r="L31" s="9">
        <f t="shared" si="4"/>
        <v>1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0</v>
      </c>
      <c r="Q31" s="100"/>
      <c r="R31" s="125"/>
      <c r="S31" s="125"/>
      <c r="T31" s="125"/>
      <c r="U31" s="100"/>
    </row>
    <row r="32" spans="1:21" x14ac:dyDescent="0.3">
      <c r="A32" s="114">
        <v>46192</v>
      </c>
      <c r="B32" s="115">
        <v>0.89583333333333337</v>
      </c>
      <c r="C32" s="116" t="s">
        <v>11</v>
      </c>
      <c r="D32" s="117">
        <v>2</v>
      </c>
      <c r="E32" s="117" t="s">
        <v>1</v>
      </c>
      <c r="F32" s="117">
        <v>0</v>
      </c>
      <c r="G32" s="116" t="s">
        <v>118</v>
      </c>
      <c r="K32" s="8" t="str">
        <f t="shared" si="3"/>
        <v>Brasil</v>
      </c>
      <c r="L32" s="9">
        <f t="shared" si="4"/>
        <v>2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100"/>
      <c r="R32" s="125"/>
      <c r="S32" s="125"/>
      <c r="T32" s="125"/>
      <c r="U32" s="100"/>
    </row>
    <row r="33" spans="1:21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1</v>
      </c>
      <c r="G33" s="116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100"/>
      <c r="R33" s="125"/>
      <c r="S33" s="125"/>
      <c r="T33" s="125"/>
      <c r="U33" s="100"/>
    </row>
    <row r="34" spans="1:21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1</v>
      </c>
      <c r="G34" s="116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100"/>
      <c r="R34" s="125"/>
      <c r="S34" s="125"/>
      <c r="T34" s="125"/>
      <c r="U34" s="100"/>
    </row>
    <row r="35" spans="1:21" x14ac:dyDescent="0.3">
      <c r="A35" s="114">
        <v>46193</v>
      </c>
      <c r="B35" s="115">
        <v>0.70833333333333337</v>
      </c>
      <c r="C35" s="116" t="s">
        <v>12</v>
      </c>
      <c r="D35" s="117">
        <v>2</v>
      </c>
      <c r="E35" s="117" t="s">
        <v>1</v>
      </c>
      <c r="F35" s="117">
        <v>1</v>
      </c>
      <c r="G35" s="116" t="s">
        <v>123</v>
      </c>
      <c r="K35" s="8" t="str">
        <f t="shared" si="3"/>
        <v>Alemanha</v>
      </c>
      <c r="L35" s="9">
        <f t="shared" si="4"/>
        <v>2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9</v>
      </c>
      <c r="Q35" s="100"/>
      <c r="R35" s="125"/>
      <c r="S35" s="125"/>
      <c r="T35" s="125"/>
      <c r="U35" s="100"/>
    </row>
    <row r="36" spans="1:21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1</v>
      </c>
      <c r="G36" s="116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1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100"/>
      <c r="R36" s="125"/>
      <c r="S36" s="125"/>
      <c r="T36" s="125"/>
      <c r="U36" s="100"/>
    </row>
    <row r="37" spans="1:21" x14ac:dyDescent="0.3">
      <c r="A37" s="114">
        <v>46194</v>
      </c>
      <c r="B37" s="115">
        <v>4.1666666666666664E-2</v>
      </c>
      <c r="C37" s="116" t="s">
        <v>17</v>
      </c>
      <c r="D37" s="117">
        <v>1</v>
      </c>
      <c r="E37" s="117" t="s">
        <v>1</v>
      </c>
      <c r="F37" s="117">
        <v>2</v>
      </c>
      <c r="G37" s="116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100"/>
      <c r="R37" s="125"/>
      <c r="S37" s="125"/>
      <c r="T37" s="125"/>
      <c r="U37" s="100"/>
    </row>
    <row r="38" spans="1:21" x14ac:dyDescent="0.3">
      <c r="A38" s="114">
        <v>46194</v>
      </c>
      <c r="B38" s="115">
        <v>0.54166666666666663</v>
      </c>
      <c r="C38" s="116" t="s">
        <v>6</v>
      </c>
      <c r="D38" s="117">
        <v>2</v>
      </c>
      <c r="E38" s="117" t="s">
        <v>1</v>
      </c>
      <c r="F38" s="117">
        <v>0</v>
      </c>
      <c r="G38" s="116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100"/>
      <c r="R38" s="125"/>
      <c r="S38" s="125"/>
      <c r="T38" s="125"/>
      <c r="U38" s="100"/>
    </row>
    <row r="39" spans="1:21" x14ac:dyDescent="0.3">
      <c r="A39" s="114">
        <v>46194</v>
      </c>
      <c r="B39" s="115">
        <v>0.66666666666666663</v>
      </c>
      <c r="C39" s="116" t="s">
        <v>16</v>
      </c>
      <c r="D39" s="117">
        <v>2</v>
      </c>
      <c r="E39" s="117" t="s">
        <v>1</v>
      </c>
      <c r="F39" s="117">
        <v>1</v>
      </c>
      <c r="G39" s="116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100"/>
      <c r="R39" s="125"/>
      <c r="S39" s="125"/>
      <c r="T39" s="125"/>
      <c r="U39" s="100"/>
    </row>
    <row r="40" spans="1:21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1</v>
      </c>
      <c r="G40" s="116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1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100"/>
      <c r="R40" s="125"/>
      <c r="S40" s="125"/>
      <c r="T40" s="125"/>
      <c r="U40" s="100"/>
    </row>
    <row r="41" spans="1:21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100"/>
      <c r="R41" s="125"/>
      <c r="S41" s="125"/>
      <c r="T41" s="125"/>
      <c r="U41" s="100"/>
    </row>
    <row r="42" spans="1:21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1</v>
      </c>
      <c r="G42" s="116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100"/>
      <c r="R42" s="125"/>
      <c r="S42" s="125"/>
      <c r="T42" s="125"/>
      <c r="U42" s="100"/>
    </row>
    <row r="43" spans="1:21" x14ac:dyDescent="0.3">
      <c r="A43" s="114">
        <v>46195</v>
      </c>
      <c r="B43" s="115">
        <v>0.75</v>
      </c>
      <c r="C43" s="116" t="s">
        <v>7</v>
      </c>
      <c r="D43" s="117">
        <v>2</v>
      </c>
      <c r="E43" s="117" t="s">
        <v>1</v>
      </c>
      <c r="F43" s="117">
        <v>0</v>
      </c>
      <c r="G43" s="116" t="s">
        <v>127</v>
      </c>
      <c r="K43" s="8" t="str">
        <f t="shared" si="3"/>
        <v>França</v>
      </c>
      <c r="L43" s="9">
        <f t="shared" si="4"/>
        <v>2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Q43" s="100"/>
      <c r="R43" s="125"/>
      <c r="S43" s="125"/>
      <c r="T43" s="125"/>
      <c r="U43" s="100"/>
    </row>
    <row r="44" spans="1:21" x14ac:dyDescent="0.3">
      <c r="A44" s="114">
        <v>46195</v>
      </c>
      <c r="B44" s="115">
        <v>0.875</v>
      </c>
      <c r="C44" s="116" t="s">
        <v>128</v>
      </c>
      <c r="D44" s="117">
        <v>1</v>
      </c>
      <c r="E44" s="117" t="s">
        <v>1</v>
      </c>
      <c r="F44" s="117">
        <v>1</v>
      </c>
      <c r="G44" s="116" t="s">
        <v>20</v>
      </c>
      <c r="K44" s="8" t="str">
        <f t="shared" si="3"/>
        <v>EMPATE</v>
      </c>
      <c r="L44" s="9">
        <f t="shared" si="4"/>
        <v>1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Q44" s="100"/>
      <c r="R44" s="125"/>
      <c r="S44" s="125"/>
      <c r="T44" s="125"/>
      <c r="U44" s="100"/>
    </row>
    <row r="45" spans="1:21" x14ac:dyDescent="0.3">
      <c r="A45" s="114">
        <v>46196</v>
      </c>
      <c r="B45" s="115">
        <v>0</v>
      </c>
      <c r="C45" s="116" t="s">
        <v>131</v>
      </c>
      <c r="D45" s="117">
        <v>1</v>
      </c>
      <c r="E45" s="117" t="s">
        <v>1</v>
      </c>
      <c r="F45" s="117">
        <v>2</v>
      </c>
      <c r="G45" s="116" t="s">
        <v>129</v>
      </c>
      <c r="K45" s="8" t="str">
        <f t="shared" si="3"/>
        <v>Argélia</v>
      </c>
      <c r="L45" s="9">
        <f t="shared" si="4"/>
        <v>2</v>
      </c>
      <c r="M45" s="9">
        <f t="shared" si="5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9</v>
      </c>
      <c r="Q45" s="100"/>
      <c r="R45" s="125"/>
      <c r="S45" s="125"/>
      <c r="T45" s="125"/>
      <c r="U45" s="100"/>
    </row>
    <row r="46" spans="1:21" ht="15" customHeight="1" x14ac:dyDescent="0.3">
      <c r="A46" s="114">
        <v>46196</v>
      </c>
      <c r="B46" s="115">
        <v>0.58333333333333337</v>
      </c>
      <c r="C46" s="116" t="s">
        <v>5</v>
      </c>
      <c r="D46" s="117">
        <v>2</v>
      </c>
      <c r="E46" s="117" t="s">
        <v>1</v>
      </c>
      <c r="F46" s="117">
        <v>0</v>
      </c>
      <c r="G46" s="116" t="s">
        <v>133</v>
      </c>
      <c r="K46" s="8" t="str">
        <f t="shared" si="3"/>
        <v>Portugal</v>
      </c>
      <c r="L46" s="9">
        <f t="shared" si="4"/>
        <v>2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0"/>
      <c r="R46" s="125"/>
      <c r="S46" s="125"/>
      <c r="T46" s="125"/>
      <c r="U46" s="100"/>
    </row>
    <row r="47" spans="1:21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1</v>
      </c>
      <c r="G47" s="116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0"/>
      <c r="R47" s="125"/>
      <c r="S47" s="125"/>
      <c r="T47" s="125"/>
      <c r="U47" s="100"/>
    </row>
    <row r="48" spans="1:21" x14ac:dyDescent="0.3">
      <c r="A48" s="114">
        <v>46196</v>
      </c>
      <c r="B48" s="115">
        <v>0.83333333333333337</v>
      </c>
      <c r="C48" s="116" t="s">
        <v>135</v>
      </c>
      <c r="D48" s="117">
        <v>1</v>
      </c>
      <c r="E48" s="117" t="s">
        <v>1</v>
      </c>
      <c r="F48" s="117">
        <v>2</v>
      </c>
      <c r="G48" s="116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0"/>
      <c r="R48" s="125"/>
      <c r="S48" s="125"/>
      <c r="T48" s="125"/>
      <c r="U48" s="100"/>
    </row>
    <row r="49" spans="1:21" x14ac:dyDescent="0.3">
      <c r="A49" s="118">
        <v>46196</v>
      </c>
      <c r="B49" s="115">
        <v>0.95833333333333337</v>
      </c>
      <c r="C49" s="119" t="s">
        <v>134</v>
      </c>
      <c r="D49" s="120">
        <v>2</v>
      </c>
      <c r="E49" s="120" t="s">
        <v>1</v>
      </c>
      <c r="F49" s="120">
        <v>1</v>
      </c>
      <c r="G49" s="119" t="s">
        <v>132</v>
      </c>
      <c r="K49" s="8" t="str">
        <f t="shared" si="3"/>
        <v>Colômbia</v>
      </c>
      <c r="L49" s="9">
        <f t="shared" si="4"/>
        <v>2</v>
      </c>
      <c r="M49" s="9">
        <f t="shared" si="5"/>
        <v>1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0"/>
      <c r="R49" s="125"/>
      <c r="S49" s="125"/>
      <c r="T49" s="125"/>
      <c r="U49" s="100"/>
    </row>
    <row r="50" spans="1:21" x14ac:dyDescent="0.3">
      <c r="A50" s="67">
        <v>46197</v>
      </c>
      <c r="B50" s="65">
        <v>0.66666666666666663</v>
      </c>
      <c r="C50" s="68" t="s">
        <v>74</v>
      </c>
      <c r="D50" s="69">
        <v>2</v>
      </c>
      <c r="E50" s="69" t="s">
        <v>1</v>
      </c>
      <c r="F50" s="69">
        <v>2</v>
      </c>
      <c r="G50" s="68" t="s">
        <v>110</v>
      </c>
      <c r="K50" s="8" t="str">
        <f t="shared" si="3"/>
        <v>EMPATE</v>
      </c>
      <c r="L50" s="9">
        <f t="shared" si="4"/>
        <v>2</v>
      </c>
      <c r="M50" s="9">
        <f t="shared" si="5"/>
        <v>2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1" x14ac:dyDescent="0.3">
      <c r="A51" s="67">
        <v>46197</v>
      </c>
      <c r="B51" s="65">
        <v>0.66666666666666663</v>
      </c>
      <c r="C51" s="68" t="s">
        <v>117</v>
      </c>
      <c r="D51" s="69">
        <v>1</v>
      </c>
      <c r="E51" s="69" t="s">
        <v>1</v>
      </c>
      <c r="F51" s="69">
        <v>0</v>
      </c>
      <c r="G51" s="68" t="s">
        <v>99</v>
      </c>
      <c r="K51" s="8" t="str">
        <f t="shared" si="3"/>
        <v>Bósnia</v>
      </c>
      <c r="L51" s="9">
        <f t="shared" si="4"/>
        <v>1</v>
      </c>
      <c r="M51" s="9">
        <f t="shared" si="5"/>
        <v>0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1" x14ac:dyDescent="0.3">
      <c r="A52" s="67">
        <v>46197</v>
      </c>
      <c r="B52" s="65">
        <v>0.79166666666666663</v>
      </c>
      <c r="C52" s="70" t="s">
        <v>4</v>
      </c>
      <c r="D52" s="69">
        <v>2</v>
      </c>
      <c r="E52" s="69" t="s">
        <v>1</v>
      </c>
      <c r="F52" s="69">
        <v>0</v>
      </c>
      <c r="G52" s="70" t="s">
        <v>118</v>
      </c>
      <c r="K52" s="8" t="str">
        <f t="shared" si="3"/>
        <v>Marrocos</v>
      </c>
      <c r="L52" s="9">
        <f t="shared" si="4"/>
        <v>2</v>
      </c>
      <c r="M52" s="9">
        <f t="shared" si="5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1" x14ac:dyDescent="0.3">
      <c r="A53" s="67">
        <v>46197</v>
      </c>
      <c r="B53" s="65">
        <v>0.79166666666666663</v>
      </c>
      <c r="C53" s="70" t="s">
        <v>119</v>
      </c>
      <c r="D53" s="69">
        <v>1</v>
      </c>
      <c r="E53" s="69" t="s">
        <v>1</v>
      </c>
      <c r="F53" s="69">
        <v>2</v>
      </c>
      <c r="G53" s="70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1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1" x14ac:dyDescent="0.3">
      <c r="A54" s="64">
        <v>46197</v>
      </c>
      <c r="B54" s="65">
        <v>0.91666666666666663</v>
      </c>
      <c r="C54" s="66" t="s">
        <v>90</v>
      </c>
      <c r="D54" s="49">
        <v>1</v>
      </c>
      <c r="E54" s="49" t="s">
        <v>1</v>
      </c>
      <c r="F54" s="49">
        <v>2</v>
      </c>
      <c r="G54" s="66" t="s">
        <v>15</v>
      </c>
      <c r="K54" s="8" t="str">
        <f t="shared" si="3"/>
        <v>Coréia do Sul</v>
      </c>
      <c r="L54" s="9">
        <f t="shared" si="4"/>
        <v>2</v>
      </c>
      <c r="M54" s="9">
        <f t="shared" si="5"/>
        <v>1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1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2</v>
      </c>
      <c r="G55" s="66" t="s">
        <v>13</v>
      </c>
      <c r="K55" s="8" t="str">
        <f t="shared" si="3"/>
        <v>México</v>
      </c>
      <c r="L55" s="9">
        <f t="shared" si="4"/>
        <v>2</v>
      </c>
      <c r="M55" s="9">
        <f t="shared" si="5"/>
        <v>1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1" x14ac:dyDescent="0.3">
      <c r="A56" s="64">
        <v>46198</v>
      </c>
      <c r="B56" s="65">
        <v>0.70833333333333337</v>
      </c>
      <c r="C56" s="48" t="s">
        <v>107</v>
      </c>
      <c r="D56" s="49">
        <v>0</v>
      </c>
      <c r="E56" s="49" t="s">
        <v>1</v>
      </c>
      <c r="F56" s="49">
        <v>2</v>
      </c>
      <c r="G56" s="48" t="s">
        <v>12</v>
      </c>
      <c r="K56" s="8" t="str">
        <f t="shared" si="3"/>
        <v>Alemanha</v>
      </c>
      <c r="L56" s="9">
        <f t="shared" si="4"/>
        <v>2</v>
      </c>
      <c r="M56" s="9">
        <f t="shared" si="5"/>
        <v>0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1" x14ac:dyDescent="0.3">
      <c r="A57" s="64">
        <v>46198</v>
      </c>
      <c r="B57" s="65">
        <v>0.70833333333333337</v>
      </c>
      <c r="C57" s="48" t="s">
        <v>122</v>
      </c>
      <c r="D57" s="49">
        <v>1</v>
      </c>
      <c r="E57" s="49" t="s">
        <v>1</v>
      </c>
      <c r="F57" s="49">
        <v>2</v>
      </c>
      <c r="G57" s="48" t="s">
        <v>123</v>
      </c>
      <c r="K57" s="8" t="str">
        <f t="shared" si="3"/>
        <v>Costa do Marfim</v>
      </c>
      <c r="L57" s="9">
        <f t="shared" si="4"/>
        <v>2</v>
      </c>
      <c r="M57" s="9">
        <f t="shared" si="5"/>
        <v>1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1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3</v>
      </c>
      <c r="G58" s="48" t="s">
        <v>80</v>
      </c>
      <c r="K58" s="8" t="str">
        <f t="shared" si="3"/>
        <v>Holanda</v>
      </c>
      <c r="L58" s="9">
        <f t="shared" si="4"/>
        <v>3</v>
      </c>
      <c r="M58" s="9">
        <f t="shared" si="5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1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1</v>
      </c>
      <c r="G59" s="48" t="s">
        <v>14</v>
      </c>
      <c r="K59" s="8" t="str">
        <f t="shared" si="3"/>
        <v>Japão</v>
      </c>
      <c r="L59" s="9">
        <f t="shared" si="4"/>
        <v>2</v>
      </c>
      <c r="M59" s="9">
        <f t="shared" si="5"/>
        <v>1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1" x14ac:dyDescent="0.3">
      <c r="A60" s="64">
        <v>46198</v>
      </c>
      <c r="B60" s="65">
        <v>0.95833333333333337</v>
      </c>
      <c r="C60" s="48" t="s">
        <v>121</v>
      </c>
      <c r="D60" s="49">
        <v>0</v>
      </c>
      <c r="E60" s="49" t="s">
        <v>1</v>
      </c>
      <c r="F60" s="49">
        <v>2</v>
      </c>
      <c r="G60" s="48" t="s">
        <v>109</v>
      </c>
      <c r="K60" s="8" t="str">
        <f t="shared" si="3"/>
        <v>Estados Unidos</v>
      </c>
      <c r="L60" s="9">
        <f t="shared" si="4"/>
        <v>2</v>
      </c>
      <c r="M60" s="9">
        <f t="shared" si="5"/>
        <v>0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1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1</v>
      </c>
      <c r="G61" s="48" t="s">
        <v>8</v>
      </c>
      <c r="K61" s="8" t="str">
        <f t="shared" si="3"/>
        <v>EMPATE</v>
      </c>
      <c r="L61" s="9">
        <f t="shared" si="4"/>
        <v>1</v>
      </c>
      <c r="M61" s="9">
        <f t="shared" si="5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1" x14ac:dyDescent="0.3">
      <c r="A62" s="64">
        <v>46199</v>
      </c>
      <c r="B62" s="65">
        <v>0.66666666666666663</v>
      </c>
      <c r="C62" s="48" t="s">
        <v>20</v>
      </c>
      <c r="D62" s="49">
        <v>2</v>
      </c>
      <c r="E62" s="49" t="s">
        <v>1</v>
      </c>
      <c r="F62" s="49">
        <v>1</v>
      </c>
      <c r="G62" s="48" t="s">
        <v>127</v>
      </c>
      <c r="K62" s="8" t="str">
        <f t="shared" si="3"/>
        <v>Senegal</v>
      </c>
      <c r="L62" s="9">
        <f t="shared" si="4"/>
        <v>2</v>
      </c>
      <c r="M62" s="9">
        <f t="shared" si="5"/>
        <v>1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1" x14ac:dyDescent="0.3">
      <c r="A63" s="64">
        <v>46199</v>
      </c>
      <c r="B63" s="65">
        <v>0.66666666666666663</v>
      </c>
      <c r="C63" s="48" t="s">
        <v>128</v>
      </c>
      <c r="D63" s="49">
        <v>1</v>
      </c>
      <c r="E63" s="49" t="s">
        <v>1</v>
      </c>
      <c r="F63" s="49">
        <v>2</v>
      </c>
      <c r="G63" s="48" t="s">
        <v>7</v>
      </c>
      <c r="K63" s="8" t="str">
        <f t="shared" si="3"/>
        <v>França</v>
      </c>
      <c r="L63" s="9">
        <f t="shared" si="4"/>
        <v>2</v>
      </c>
      <c r="M63" s="9">
        <f t="shared" si="5"/>
        <v>1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1" x14ac:dyDescent="0.3">
      <c r="A64" s="64">
        <v>46199</v>
      </c>
      <c r="B64" s="65">
        <v>0.875</v>
      </c>
      <c r="C64" s="48" t="s">
        <v>126</v>
      </c>
      <c r="D64" s="49">
        <v>1</v>
      </c>
      <c r="E64" s="49" t="s">
        <v>1</v>
      </c>
      <c r="F64" s="49">
        <v>1</v>
      </c>
      <c r="G64" s="48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2</v>
      </c>
      <c r="G65" s="48" t="s">
        <v>6</v>
      </c>
      <c r="K65" s="8" t="str">
        <f t="shared" si="3"/>
        <v>Espanha</v>
      </c>
      <c r="L65" s="9">
        <f t="shared" si="4"/>
        <v>2</v>
      </c>
      <c r="M65" s="9">
        <f t="shared" si="5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2</v>
      </c>
      <c r="E66" s="49" t="s">
        <v>1</v>
      </c>
      <c r="F66" s="49">
        <v>1</v>
      </c>
      <c r="G66" s="48" t="s">
        <v>108</v>
      </c>
      <c r="K66" s="8" t="str">
        <f t="shared" si="3"/>
        <v>Egito</v>
      </c>
      <c r="L66" s="9">
        <f t="shared" si="4"/>
        <v>2</v>
      </c>
      <c r="M66" s="9">
        <f t="shared" si="5"/>
        <v>1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1</v>
      </c>
      <c r="E67" s="49" t="s">
        <v>1</v>
      </c>
      <c r="F67" s="49">
        <v>2</v>
      </c>
      <c r="G67" s="48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1</v>
      </c>
      <c r="E68" s="49" t="s">
        <v>1</v>
      </c>
      <c r="F68" s="49">
        <v>1</v>
      </c>
      <c r="G68" s="48" t="s">
        <v>111</v>
      </c>
      <c r="K68" s="8" t="str">
        <f t="shared" ref="K68:K73" si="7">IF(D68="","",IF(D68&gt;F68,C68,IF(F68&gt;D68,G68,"EMPATE")))</f>
        <v>EMPATE</v>
      </c>
      <c r="L68" s="9">
        <f t="shared" ref="L68:L73" si="8">IF(D68="","",IF(D68&gt;F68,D68,IF(F68&gt;D68,F68,D68)))</f>
        <v>1</v>
      </c>
      <c r="M68" s="9">
        <f t="shared" ref="M68:M73" si="9">IF(D68="","",IF(D68&lt;F68,D68,IF(F68&lt;D68,F68,D68)))</f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0</v>
      </c>
      <c r="E69" s="49" t="s">
        <v>1</v>
      </c>
      <c r="F69" s="49">
        <v>3</v>
      </c>
      <c r="G69" s="48" t="s">
        <v>18</v>
      </c>
      <c r="K69" s="8" t="str">
        <f t="shared" si="7"/>
        <v>Inglaterra</v>
      </c>
      <c r="L69" s="9">
        <f t="shared" si="8"/>
        <v>3</v>
      </c>
      <c r="M69" s="9">
        <f t="shared" si="9"/>
        <v>0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2</v>
      </c>
      <c r="E70" s="49" t="s">
        <v>1</v>
      </c>
      <c r="F70" s="49">
        <v>0</v>
      </c>
      <c r="G70" s="48" t="s">
        <v>133</v>
      </c>
      <c r="K70" s="8" t="str">
        <f t="shared" si="7"/>
        <v>RD Congo</v>
      </c>
      <c r="L70" s="9">
        <f t="shared" si="8"/>
        <v>2</v>
      </c>
      <c r="M70" s="9">
        <f t="shared" si="9"/>
        <v>0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1</v>
      </c>
      <c r="G71" s="48" t="s">
        <v>5</v>
      </c>
      <c r="K71" s="8" t="str">
        <f t="shared" si="7"/>
        <v>EMPATE</v>
      </c>
      <c r="L71" s="9">
        <f t="shared" si="8"/>
        <v>1</v>
      </c>
      <c r="M71" s="9">
        <f t="shared" si="9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0</v>
      </c>
      <c r="E72" s="49" t="s">
        <v>1</v>
      </c>
      <c r="F72" s="49">
        <v>3</v>
      </c>
      <c r="G72" s="48" t="s">
        <v>9</v>
      </c>
      <c r="K72" s="8" t="str">
        <f t="shared" si="7"/>
        <v>Argentina</v>
      </c>
      <c r="L72" s="9">
        <f t="shared" si="8"/>
        <v>3</v>
      </c>
      <c r="M72" s="9">
        <f t="shared" si="9"/>
        <v>0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1</v>
      </c>
      <c r="G73" s="48" t="s">
        <v>130</v>
      </c>
      <c r="K73" s="8" t="str">
        <f t="shared" si="7"/>
        <v>EMPATE</v>
      </c>
      <c r="L73" s="9">
        <f t="shared" si="8"/>
        <v>1</v>
      </c>
      <c r="M73" s="9">
        <f t="shared" si="9"/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ref="K74:K105" si="10">IF(D74="","",IF(D74&gt;F74,C74,IF(F74&gt;D74,G74,"EMPATE")))</f>
        <v/>
      </c>
      <c r="L74" s="9" t="str">
        <f t="shared" ref="L74:L105" si="11">IF(D74="","",IF(D74&gt;F74,D74,IF(F74&gt;D74,F74,D74)))</f>
        <v/>
      </c>
      <c r="M74" s="9" t="str">
        <f t="shared" ref="M74:M105" si="12">IF(D74="","",IF(D74&lt;F74,D74,IF(F74&lt;D74,F74,D74)))</f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6104-CF35-49FA-817F-5044F9774F6B}">
  <dimension ref="A1:W105"/>
  <sheetViews>
    <sheetView showGridLines="0" topLeftCell="A46" workbookViewId="0">
      <selection activeCell="Q50" sqref="Q50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4" bestFit="1" customWidth="1"/>
    <col min="4" max="4" width="7.6640625" style="50" customWidth="1"/>
    <col min="5" max="5" width="2" style="18" bestFit="1" customWidth="1"/>
    <col min="6" max="6" width="7.6640625" style="50" customWidth="1"/>
    <col min="7" max="7" width="23" style="54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54" t="s">
        <v>92</v>
      </c>
      <c r="B1" s="154"/>
      <c r="C1" s="154"/>
      <c r="D1" s="154"/>
      <c r="E1" s="154"/>
      <c r="F1" s="154"/>
      <c r="G1" s="154"/>
      <c r="H1" s="155" t="s">
        <v>106</v>
      </c>
      <c r="I1" s="149"/>
      <c r="J1" s="156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3">
      <c r="A2" s="64">
        <v>46184</v>
      </c>
      <c r="B2" s="65">
        <v>0.66666666666666663</v>
      </c>
      <c r="C2" s="66" t="s">
        <v>13</v>
      </c>
      <c r="D2" s="49">
        <v>2</v>
      </c>
      <c r="E2" s="49" t="s">
        <v>1</v>
      </c>
      <c r="F2" s="49">
        <v>0</v>
      </c>
      <c r="G2" s="66" t="s">
        <v>90</v>
      </c>
      <c r="H2" s="155"/>
      <c r="I2" s="149"/>
      <c r="J2" s="156"/>
      <c r="K2" s="8" t="str">
        <f t="shared" ref="K2:K45" si="0">IF(D2="","",IF(D2&gt;F2,C2,IF(F2&gt;D2,G2,"EMPATE")))</f>
        <v>México</v>
      </c>
      <c r="L2" s="9">
        <f t="shared" ref="L2:L45" si="1">IF(D2="","",IF(D2&gt;F2,D2,IF(F2&gt;D2,F2,D2)))</f>
        <v>2</v>
      </c>
      <c r="M2" s="9">
        <f t="shared" ref="M2:M45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</row>
    <row r="3" spans="1:15" ht="15.75" customHeight="1" x14ac:dyDescent="0.3">
      <c r="A3" s="64">
        <v>46184</v>
      </c>
      <c r="B3" s="65">
        <v>0.95833333333333337</v>
      </c>
      <c r="C3" s="66" t="s">
        <v>15</v>
      </c>
      <c r="D3" s="49">
        <v>1</v>
      </c>
      <c r="E3" s="49" t="s">
        <v>1</v>
      </c>
      <c r="F3" s="49">
        <v>1</v>
      </c>
      <c r="G3" s="66" t="s">
        <v>116</v>
      </c>
      <c r="H3" s="155"/>
      <c r="I3" s="149"/>
      <c r="J3" s="156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64">
        <v>46185</v>
      </c>
      <c r="B4" s="65">
        <v>0.66666666666666663</v>
      </c>
      <c r="C4" s="66" t="s">
        <v>110</v>
      </c>
      <c r="D4" s="49">
        <v>2</v>
      </c>
      <c r="E4" s="49" t="s">
        <v>1</v>
      </c>
      <c r="F4" s="49">
        <v>1</v>
      </c>
      <c r="G4" s="66" t="s">
        <v>117</v>
      </c>
      <c r="K4" s="8" t="str">
        <f t="shared" si="0"/>
        <v>Canadá</v>
      </c>
      <c r="L4" s="9">
        <f t="shared" si="1"/>
        <v>2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64">
        <v>46185</v>
      </c>
      <c r="B5" s="65">
        <v>0.91666666666666663</v>
      </c>
      <c r="C5" s="66" t="s">
        <v>109</v>
      </c>
      <c r="D5" s="49">
        <v>2</v>
      </c>
      <c r="E5" s="49" t="s">
        <v>1</v>
      </c>
      <c r="F5" s="49">
        <v>1</v>
      </c>
      <c r="G5" s="66" t="s">
        <v>120</v>
      </c>
      <c r="I5" s="18"/>
      <c r="K5" s="8" t="str">
        <f t="shared" si="0"/>
        <v>Estados Unidos</v>
      </c>
      <c r="L5" s="9">
        <f t="shared" si="1"/>
        <v>2</v>
      </c>
      <c r="M5" s="9">
        <f t="shared" si="2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64">
        <v>46186</v>
      </c>
      <c r="B6" s="65">
        <v>0.66666666666666663</v>
      </c>
      <c r="C6" s="66" t="s">
        <v>99</v>
      </c>
      <c r="D6" s="49">
        <v>0</v>
      </c>
      <c r="E6" s="49" t="s">
        <v>1</v>
      </c>
      <c r="F6" s="49">
        <v>2</v>
      </c>
      <c r="G6" s="66" t="s">
        <v>74</v>
      </c>
      <c r="H6" s="10" t="s">
        <v>46</v>
      </c>
      <c r="I6" s="10" t="s">
        <v>47</v>
      </c>
      <c r="J6" s="10" t="s">
        <v>48</v>
      </c>
      <c r="K6" s="8" t="str">
        <f t="shared" si="0"/>
        <v>Suíça</v>
      </c>
      <c r="L6" s="9">
        <f t="shared" si="1"/>
        <v>2</v>
      </c>
      <c r="M6" s="9">
        <f t="shared" si="2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64">
        <v>46186</v>
      </c>
      <c r="B7" s="65">
        <v>0.79166666666666663</v>
      </c>
      <c r="C7" s="66" t="s">
        <v>11</v>
      </c>
      <c r="D7" s="49">
        <v>2</v>
      </c>
      <c r="E7" s="49" t="s">
        <v>1</v>
      </c>
      <c r="F7" s="49">
        <v>1</v>
      </c>
      <c r="G7" s="66" t="s">
        <v>4</v>
      </c>
      <c r="H7" s="15">
        <v>9</v>
      </c>
      <c r="I7" s="15">
        <f>COUNTIF($O$2:$O$65,9)</f>
        <v>6</v>
      </c>
      <c r="J7" s="15">
        <f>H7*I7</f>
        <v>54</v>
      </c>
      <c r="K7" s="8" t="str">
        <f t="shared" si="0"/>
        <v>Brasil</v>
      </c>
      <c r="L7" s="9">
        <f t="shared" si="1"/>
        <v>2</v>
      </c>
      <c r="M7" s="9">
        <f t="shared" si="2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64">
        <v>46186</v>
      </c>
      <c r="B8" s="65">
        <v>0.91666666666666663</v>
      </c>
      <c r="C8" s="66" t="s">
        <v>118</v>
      </c>
      <c r="D8" s="49">
        <v>0</v>
      </c>
      <c r="E8" s="49" t="s">
        <v>1</v>
      </c>
      <c r="F8" s="49">
        <v>2</v>
      </c>
      <c r="G8" s="66" t="s">
        <v>119</v>
      </c>
      <c r="H8" s="15">
        <v>6</v>
      </c>
      <c r="I8" s="15">
        <f>COUNTIF($O$2:$O$65,6)</f>
        <v>2</v>
      </c>
      <c r="J8" s="15">
        <f t="shared" ref="J8:J11" si="3">H8*I8</f>
        <v>12</v>
      </c>
      <c r="K8" s="8" t="str">
        <f t="shared" si="0"/>
        <v>Escócia</v>
      </c>
      <c r="L8" s="9">
        <f t="shared" si="1"/>
        <v>2</v>
      </c>
      <c r="M8" s="9">
        <f t="shared" si="2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</row>
    <row r="9" spans="1:15" ht="15.75" customHeight="1" x14ac:dyDescent="0.3">
      <c r="A9" s="64">
        <v>46187</v>
      </c>
      <c r="B9" s="65">
        <v>4.1666666666666664E-2</v>
      </c>
      <c r="C9" s="66" t="s">
        <v>8</v>
      </c>
      <c r="D9" s="49">
        <v>0</v>
      </c>
      <c r="E9" s="49" t="s">
        <v>1</v>
      </c>
      <c r="F9" s="49">
        <v>2</v>
      </c>
      <c r="G9" s="66" t="s">
        <v>121</v>
      </c>
      <c r="H9" s="15">
        <v>4</v>
      </c>
      <c r="I9" s="15">
        <f>COUNTIF($O$2:$O$65,4)</f>
        <v>5</v>
      </c>
      <c r="J9" s="15">
        <f t="shared" si="3"/>
        <v>20</v>
      </c>
      <c r="K9" s="8" t="str">
        <f t="shared" si="0"/>
        <v>Turquia</v>
      </c>
      <c r="L9" s="9">
        <f t="shared" si="1"/>
        <v>2</v>
      </c>
      <c r="M9" s="9">
        <f t="shared" si="2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64">
        <v>46187</v>
      </c>
      <c r="B10" s="65">
        <v>0.58333333333333337</v>
      </c>
      <c r="C10" s="66" t="s">
        <v>12</v>
      </c>
      <c r="D10" s="49">
        <v>4</v>
      </c>
      <c r="E10" s="49" t="s">
        <v>1</v>
      </c>
      <c r="F10" s="49">
        <v>0</v>
      </c>
      <c r="G10" s="66" t="s">
        <v>122</v>
      </c>
      <c r="H10" s="15">
        <v>3</v>
      </c>
      <c r="I10" s="15">
        <f>COUNTIF($O$2:$O$65,3)</f>
        <v>11</v>
      </c>
      <c r="J10" s="15">
        <f t="shared" si="3"/>
        <v>33</v>
      </c>
      <c r="K10" s="8" t="str">
        <f t="shared" si="0"/>
        <v>Alemanha</v>
      </c>
      <c r="L10" s="9">
        <f t="shared" si="1"/>
        <v>4</v>
      </c>
      <c r="M10" s="9">
        <f t="shared" si="2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64">
        <v>46187</v>
      </c>
      <c r="B11" s="65">
        <v>0.70833333333333337</v>
      </c>
      <c r="C11" s="66" t="s">
        <v>80</v>
      </c>
      <c r="D11" s="49">
        <v>1</v>
      </c>
      <c r="E11" s="49" t="s">
        <v>1</v>
      </c>
      <c r="F11" s="49">
        <v>1</v>
      </c>
      <c r="G11" s="66" t="s">
        <v>19</v>
      </c>
      <c r="H11" s="15">
        <v>0</v>
      </c>
      <c r="I11" s="15">
        <f>COUNTIF($O$2:$O$65,0)</f>
        <v>20</v>
      </c>
      <c r="J11" s="15">
        <f t="shared" si="3"/>
        <v>0</v>
      </c>
      <c r="K11" s="8" t="str">
        <f t="shared" si="0"/>
        <v>EMPATE</v>
      </c>
      <c r="L11" s="9">
        <f t="shared" si="1"/>
        <v>1</v>
      </c>
      <c r="M11" s="9">
        <f t="shared" si="2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6</v>
      </c>
    </row>
    <row r="12" spans="1:15" ht="18" x14ac:dyDescent="0.35">
      <c r="A12" s="64">
        <v>46187</v>
      </c>
      <c r="B12" s="65">
        <v>0.83333333333333337</v>
      </c>
      <c r="C12" s="66" t="s">
        <v>123</v>
      </c>
      <c r="D12" s="49">
        <v>1</v>
      </c>
      <c r="E12" s="49" t="s">
        <v>1</v>
      </c>
      <c r="F12" s="49">
        <v>1</v>
      </c>
      <c r="G12" s="66" t="s">
        <v>107</v>
      </c>
      <c r="H12" s="15"/>
      <c r="I12" s="16" t="s">
        <v>48</v>
      </c>
      <c r="J12" s="17">
        <f>SUM(J7:J11)</f>
        <v>119</v>
      </c>
      <c r="K12" s="8" t="str">
        <f t="shared" si="0"/>
        <v>EMPATE</v>
      </c>
      <c r="L12" s="9">
        <f t="shared" si="1"/>
        <v>1</v>
      </c>
      <c r="M12" s="9">
        <f t="shared" si="2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64">
        <v>46187</v>
      </c>
      <c r="B13" s="65">
        <v>0.95833333333333337</v>
      </c>
      <c r="C13" s="66" t="s">
        <v>14</v>
      </c>
      <c r="D13" s="49">
        <v>1</v>
      </c>
      <c r="E13" s="49" t="s">
        <v>1</v>
      </c>
      <c r="F13" s="49">
        <v>0</v>
      </c>
      <c r="G13" s="66" t="s">
        <v>17</v>
      </c>
      <c r="K13" s="8" t="str">
        <f t="shared" si="0"/>
        <v>Suécia</v>
      </c>
      <c r="L13" s="9">
        <f t="shared" si="1"/>
        <v>1</v>
      </c>
      <c r="M13" s="9">
        <f t="shared" si="2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3">
      <c r="A14" s="64">
        <v>46188</v>
      </c>
      <c r="B14" s="65">
        <v>0.54166666666666663</v>
      </c>
      <c r="C14" s="66" t="s">
        <v>6</v>
      </c>
      <c r="D14" s="49">
        <v>3</v>
      </c>
      <c r="E14" s="49" t="s">
        <v>1</v>
      </c>
      <c r="F14" s="49">
        <v>0</v>
      </c>
      <c r="G14" s="66" t="s">
        <v>126</v>
      </c>
      <c r="K14" s="8" t="str">
        <f t="shared" si="0"/>
        <v>Espanha</v>
      </c>
      <c r="L14" s="9">
        <f t="shared" si="1"/>
        <v>3</v>
      </c>
      <c r="M14" s="9">
        <f t="shared" si="2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64">
        <v>46188</v>
      </c>
      <c r="B15" s="65">
        <v>0.66666666666666663</v>
      </c>
      <c r="C15" s="66" t="s">
        <v>16</v>
      </c>
      <c r="D15" s="49">
        <v>2</v>
      </c>
      <c r="E15" s="49" t="s">
        <v>1</v>
      </c>
      <c r="F15" s="49">
        <v>0</v>
      </c>
      <c r="G15" s="66" t="s">
        <v>124</v>
      </c>
      <c r="K15" s="8" t="str">
        <f t="shared" si="0"/>
        <v>Bélgica</v>
      </c>
      <c r="L15" s="9">
        <f t="shared" si="1"/>
        <v>2</v>
      </c>
      <c r="M15" s="9">
        <f t="shared" si="2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64">
        <v>46188</v>
      </c>
      <c r="B16" s="65">
        <v>0.79166666666666663</v>
      </c>
      <c r="C16" s="66" t="s">
        <v>2</v>
      </c>
      <c r="D16" s="49">
        <v>0</v>
      </c>
      <c r="E16" s="49" t="s">
        <v>1</v>
      </c>
      <c r="F16" s="49">
        <v>2</v>
      </c>
      <c r="G16" s="66" t="s">
        <v>3</v>
      </c>
      <c r="K16" s="8" t="str">
        <f t="shared" si="0"/>
        <v>Uruguai</v>
      </c>
      <c r="L16" s="9">
        <f t="shared" si="1"/>
        <v>2</v>
      </c>
      <c r="M16" s="9">
        <f t="shared" si="2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3" x14ac:dyDescent="0.3">
      <c r="A17" s="64">
        <v>46188</v>
      </c>
      <c r="B17" s="65">
        <v>0.91666666666666663</v>
      </c>
      <c r="C17" s="66" t="s">
        <v>108</v>
      </c>
      <c r="D17" s="49">
        <v>1</v>
      </c>
      <c r="E17" s="49" t="s">
        <v>1</v>
      </c>
      <c r="F17" s="49">
        <v>0</v>
      </c>
      <c r="G17" s="66" t="s">
        <v>125</v>
      </c>
      <c r="K17" s="8" t="str">
        <f t="shared" si="0"/>
        <v>Irã</v>
      </c>
      <c r="L17" s="9">
        <f t="shared" si="1"/>
        <v>1</v>
      </c>
      <c r="M17" s="9">
        <f t="shared" si="2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3" x14ac:dyDescent="0.3">
      <c r="A18" s="64">
        <v>46189</v>
      </c>
      <c r="B18" s="65">
        <v>0.66666666666666663</v>
      </c>
      <c r="C18" s="66" t="s">
        <v>7</v>
      </c>
      <c r="D18" s="49">
        <v>2</v>
      </c>
      <c r="E18" s="49" t="s">
        <v>1</v>
      </c>
      <c r="F18" s="49">
        <v>1</v>
      </c>
      <c r="G18" s="66" t="s">
        <v>20</v>
      </c>
      <c r="K18" s="8" t="str">
        <f t="shared" si="0"/>
        <v>França</v>
      </c>
      <c r="L18" s="9">
        <f t="shared" si="1"/>
        <v>2</v>
      </c>
      <c r="M18" s="9">
        <f t="shared" si="2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3" x14ac:dyDescent="0.3">
      <c r="A19" s="64">
        <v>46189</v>
      </c>
      <c r="B19" s="65">
        <v>0.79166666666666663</v>
      </c>
      <c r="C19" s="66" t="s">
        <v>127</v>
      </c>
      <c r="D19" s="49">
        <v>0</v>
      </c>
      <c r="E19" s="49" t="s">
        <v>1</v>
      </c>
      <c r="F19" s="49">
        <v>2</v>
      </c>
      <c r="G19" s="66" t="s">
        <v>128</v>
      </c>
      <c r="K19" s="8" t="str">
        <f t="shared" si="0"/>
        <v>Noruega</v>
      </c>
      <c r="L19" s="9">
        <f t="shared" si="1"/>
        <v>2</v>
      </c>
      <c r="M19" s="9">
        <f t="shared" si="2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3" x14ac:dyDescent="0.3">
      <c r="A20" s="64">
        <v>46189</v>
      </c>
      <c r="B20" s="65">
        <v>0.91666666666666663</v>
      </c>
      <c r="C20" s="66" t="s">
        <v>9</v>
      </c>
      <c r="D20" s="49">
        <v>3</v>
      </c>
      <c r="E20" s="49" t="s">
        <v>1</v>
      </c>
      <c r="F20" s="49">
        <v>0</v>
      </c>
      <c r="G20" s="66" t="s">
        <v>129</v>
      </c>
      <c r="K20" s="8" t="str">
        <f t="shared" si="0"/>
        <v>Argentina</v>
      </c>
      <c r="L20" s="9">
        <f t="shared" si="1"/>
        <v>3</v>
      </c>
      <c r="M20" s="9">
        <f t="shared" si="2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3" x14ac:dyDescent="0.3">
      <c r="A21" s="64">
        <v>46190</v>
      </c>
      <c r="B21" s="65">
        <v>4.1666666666666664E-2</v>
      </c>
      <c r="C21" s="66" t="s">
        <v>130</v>
      </c>
      <c r="D21" s="49">
        <v>2</v>
      </c>
      <c r="E21" s="49" t="s">
        <v>1</v>
      </c>
      <c r="F21" s="49">
        <v>0</v>
      </c>
      <c r="G21" s="66" t="s">
        <v>131</v>
      </c>
      <c r="K21" s="8" t="str">
        <f t="shared" si="0"/>
        <v>Áustria</v>
      </c>
      <c r="L21" s="9">
        <f t="shared" si="1"/>
        <v>2</v>
      </c>
      <c r="M21" s="9">
        <f t="shared" si="2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3" x14ac:dyDescent="0.3">
      <c r="A22" s="64">
        <v>46190</v>
      </c>
      <c r="B22" s="65">
        <v>0.58333333333333337</v>
      </c>
      <c r="C22" s="66" t="s">
        <v>5</v>
      </c>
      <c r="D22" s="49">
        <v>3</v>
      </c>
      <c r="E22" s="49" t="s">
        <v>1</v>
      </c>
      <c r="F22" s="49">
        <v>0</v>
      </c>
      <c r="G22" s="66" t="s">
        <v>132</v>
      </c>
      <c r="K22" s="8" t="str">
        <f t="shared" si="0"/>
        <v>Portugal</v>
      </c>
      <c r="L22" s="9">
        <f t="shared" si="1"/>
        <v>3</v>
      </c>
      <c r="M22" s="9">
        <f t="shared" si="2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3" x14ac:dyDescent="0.3">
      <c r="A23" s="64">
        <v>46190</v>
      </c>
      <c r="B23" s="65">
        <v>0.70833333333333337</v>
      </c>
      <c r="C23" s="66" t="s">
        <v>18</v>
      </c>
      <c r="D23" s="49">
        <v>1</v>
      </c>
      <c r="E23" s="49" t="s">
        <v>1</v>
      </c>
      <c r="F23" s="49">
        <v>1</v>
      </c>
      <c r="G23" s="66" t="s">
        <v>10</v>
      </c>
      <c r="K23" s="8" t="str">
        <f t="shared" si="0"/>
        <v>EMPATE</v>
      </c>
      <c r="L23" s="9">
        <f t="shared" si="1"/>
        <v>1</v>
      </c>
      <c r="M23" s="9">
        <f t="shared" si="2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</row>
    <row r="24" spans="1:23" x14ac:dyDescent="0.3">
      <c r="A24" s="64">
        <v>46190</v>
      </c>
      <c r="B24" s="65">
        <v>0.83333333333333337</v>
      </c>
      <c r="C24" s="66" t="s">
        <v>111</v>
      </c>
      <c r="D24" s="49">
        <v>2</v>
      </c>
      <c r="E24" s="49" t="s">
        <v>1</v>
      </c>
      <c r="F24" s="49">
        <v>1</v>
      </c>
      <c r="G24" s="66" t="s">
        <v>135</v>
      </c>
      <c r="K24" s="8" t="str">
        <f t="shared" si="0"/>
        <v>Gana</v>
      </c>
      <c r="L24" s="9">
        <f t="shared" si="1"/>
        <v>2</v>
      </c>
      <c r="M24" s="9">
        <f t="shared" si="2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3" x14ac:dyDescent="0.3">
      <c r="A25" s="64">
        <v>46190</v>
      </c>
      <c r="B25" s="65">
        <v>0.95833333333333337</v>
      </c>
      <c r="C25" s="66" t="s">
        <v>133</v>
      </c>
      <c r="D25" s="49">
        <v>0</v>
      </c>
      <c r="E25" s="49" t="s">
        <v>1</v>
      </c>
      <c r="F25" s="49">
        <v>2</v>
      </c>
      <c r="G25" s="66" t="s">
        <v>134</v>
      </c>
      <c r="K25" s="8" t="str">
        <f t="shared" si="0"/>
        <v>Colômbia</v>
      </c>
      <c r="L25" s="9">
        <f t="shared" si="1"/>
        <v>2</v>
      </c>
      <c r="M25" s="9">
        <f t="shared" si="2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</row>
    <row r="26" spans="1:23" x14ac:dyDescent="0.3">
      <c r="A26" s="114">
        <v>46191</v>
      </c>
      <c r="B26" s="115">
        <v>0.54166666666666663</v>
      </c>
      <c r="C26" s="116" t="s">
        <v>116</v>
      </c>
      <c r="D26" s="117">
        <v>1</v>
      </c>
      <c r="E26" s="117" t="s">
        <v>1</v>
      </c>
      <c r="F26" s="117">
        <v>0</v>
      </c>
      <c r="G26" s="116" t="s">
        <v>90</v>
      </c>
      <c r="K26" s="8" t="str">
        <f t="shared" si="0"/>
        <v>República Tcheca</v>
      </c>
      <c r="L26" s="9">
        <f t="shared" si="1"/>
        <v>1</v>
      </c>
      <c r="M26" s="9">
        <f t="shared" si="2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98"/>
      <c r="R26" s="99"/>
      <c r="S26" s="100"/>
      <c r="T26" s="52"/>
      <c r="U26" s="52"/>
      <c r="V26" s="52"/>
      <c r="W26" s="100"/>
    </row>
    <row r="27" spans="1:23" x14ac:dyDescent="0.3">
      <c r="A27" s="114">
        <v>46191</v>
      </c>
      <c r="B27" s="115">
        <v>0.66666666666666663</v>
      </c>
      <c r="C27" s="116" t="s">
        <v>74</v>
      </c>
      <c r="D27" s="117">
        <v>1</v>
      </c>
      <c r="E27" s="117" t="s">
        <v>1</v>
      </c>
      <c r="F27" s="117">
        <v>1</v>
      </c>
      <c r="G27" s="116" t="s">
        <v>117</v>
      </c>
      <c r="K27" s="8" t="str">
        <f t="shared" si="0"/>
        <v>EMPATE</v>
      </c>
      <c r="L27" s="9">
        <f t="shared" si="1"/>
        <v>1</v>
      </c>
      <c r="M27" s="9">
        <f t="shared" si="2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98"/>
      <c r="R27" s="99"/>
      <c r="S27" s="100"/>
      <c r="T27" s="52"/>
      <c r="U27" s="52"/>
      <c r="V27" s="52"/>
      <c r="W27" s="100"/>
    </row>
    <row r="28" spans="1:23" x14ac:dyDescent="0.3">
      <c r="A28" s="114">
        <v>46191</v>
      </c>
      <c r="B28" s="115">
        <v>0.79166666666666663</v>
      </c>
      <c r="C28" s="116" t="s">
        <v>110</v>
      </c>
      <c r="D28" s="117">
        <v>2</v>
      </c>
      <c r="E28" s="117" t="s">
        <v>1</v>
      </c>
      <c r="F28" s="117">
        <v>1</v>
      </c>
      <c r="G28" s="116" t="s">
        <v>99</v>
      </c>
      <c r="K28" s="8" t="str">
        <f t="shared" si="0"/>
        <v>Canadá</v>
      </c>
      <c r="L28" s="9">
        <f t="shared" si="1"/>
        <v>2</v>
      </c>
      <c r="M28" s="9">
        <f t="shared" si="2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98"/>
      <c r="R28" s="99"/>
      <c r="S28" s="100"/>
      <c r="T28" s="52"/>
      <c r="U28" s="52"/>
      <c r="V28" s="52"/>
      <c r="W28" s="100"/>
    </row>
    <row r="29" spans="1:23" x14ac:dyDescent="0.3">
      <c r="A29" s="114">
        <v>46191</v>
      </c>
      <c r="B29" s="115">
        <v>0.91666666666666663</v>
      </c>
      <c r="C29" s="116" t="s">
        <v>13</v>
      </c>
      <c r="D29" s="117">
        <v>2</v>
      </c>
      <c r="E29" s="117" t="s">
        <v>1</v>
      </c>
      <c r="F29" s="117">
        <v>1</v>
      </c>
      <c r="G29" s="116" t="s">
        <v>15</v>
      </c>
      <c r="K29" s="8" t="str">
        <f t="shared" si="0"/>
        <v>México</v>
      </c>
      <c r="L29" s="9">
        <f t="shared" si="1"/>
        <v>2</v>
      </c>
      <c r="M29" s="9">
        <f t="shared" si="2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98"/>
      <c r="R29" s="99"/>
      <c r="S29" s="100"/>
      <c r="T29" s="52"/>
      <c r="U29" s="52"/>
      <c r="V29" s="52"/>
      <c r="W29" s="100"/>
    </row>
    <row r="30" spans="1:23" x14ac:dyDescent="0.3">
      <c r="A30" s="114">
        <v>46192</v>
      </c>
      <c r="B30" s="115">
        <v>0.66666666666666663</v>
      </c>
      <c r="C30" s="116" t="s">
        <v>109</v>
      </c>
      <c r="D30" s="117">
        <v>2</v>
      </c>
      <c r="E30" s="117" t="s">
        <v>1</v>
      </c>
      <c r="F30" s="117">
        <v>0</v>
      </c>
      <c r="G30" s="116" t="s">
        <v>8</v>
      </c>
      <c r="K30" s="8" t="str">
        <f t="shared" si="0"/>
        <v>Estados Unidos</v>
      </c>
      <c r="L30" s="9">
        <f t="shared" si="1"/>
        <v>2</v>
      </c>
      <c r="M30" s="9">
        <f t="shared" si="2"/>
        <v>0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9</v>
      </c>
      <c r="Q30" s="98"/>
      <c r="R30" s="99"/>
      <c r="S30" s="100"/>
      <c r="T30" s="52"/>
      <c r="U30" s="52"/>
      <c r="V30" s="52"/>
      <c r="W30" s="100"/>
    </row>
    <row r="31" spans="1:23" x14ac:dyDescent="0.3">
      <c r="A31" s="114">
        <v>46192</v>
      </c>
      <c r="B31" s="115">
        <v>0.79166666666666663</v>
      </c>
      <c r="C31" s="116" t="s">
        <v>119</v>
      </c>
      <c r="D31" s="117">
        <v>0</v>
      </c>
      <c r="E31" s="117" t="s">
        <v>1</v>
      </c>
      <c r="F31" s="117">
        <v>1</v>
      </c>
      <c r="G31" s="116" t="s">
        <v>4</v>
      </c>
      <c r="K31" s="8" t="str">
        <f t="shared" si="0"/>
        <v>Marrocos</v>
      </c>
      <c r="L31" s="9">
        <f t="shared" si="1"/>
        <v>1</v>
      </c>
      <c r="M31" s="9">
        <f t="shared" si="2"/>
        <v>0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9</v>
      </c>
      <c r="Q31" s="98"/>
      <c r="R31" s="99"/>
      <c r="S31" s="100"/>
      <c r="T31" s="52"/>
      <c r="U31" s="52"/>
      <c r="V31" s="52"/>
      <c r="W31" s="100"/>
    </row>
    <row r="32" spans="1:23" x14ac:dyDescent="0.3">
      <c r="A32" s="114">
        <v>46192</v>
      </c>
      <c r="B32" s="115">
        <v>0.89583333333333337</v>
      </c>
      <c r="C32" s="116" t="s">
        <v>11</v>
      </c>
      <c r="D32" s="117">
        <v>3</v>
      </c>
      <c r="E32" s="117" t="s">
        <v>1</v>
      </c>
      <c r="F32" s="117">
        <v>0</v>
      </c>
      <c r="G32" s="116" t="s">
        <v>118</v>
      </c>
      <c r="K32" s="8" t="str">
        <f t="shared" si="0"/>
        <v>Brasil</v>
      </c>
      <c r="L32" s="9">
        <f t="shared" si="1"/>
        <v>3</v>
      </c>
      <c r="M32" s="9">
        <f t="shared" si="2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98"/>
      <c r="R32" s="99"/>
      <c r="S32" s="100"/>
      <c r="T32" s="52"/>
      <c r="U32" s="52"/>
      <c r="V32" s="52"/>
      <c r="W32" s="100"/>
    </row>
    <row r="33" spans="1:23" x14ac:dyDescent="0.3">
      <c r="A33" s="114">
        <v>46193</v>
      </c>
      <c r="B33" s="115">
        <v>4.1666666666666664E-2</v>
      </c>
      <c r="C33" s="116" t="s">
        <v>121</v>
      </c>
      <c r="D33" s="117">
        <v>1</v>
      </c>
      <c r="E33" s="117" t="s">
        <v>1</v>
      </c>
      <c r="F33" s="117">
        <v>1</v>
      </c>
      <c r="G33" s="116" t="s">
        <v>120</v>
      </c>
      <c r="K33" s="8" t="str">
        <f t="shared" si="0"/>
        <v>EMPATE</v>
      </c>
      <c r="L33" s="9">
        <f t="shared" si="1"/>
        <v>1</v>
      </c>
      <c r="M33" s="9">
        <f t="shared" si="2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98"/>
      <c r="R33" s="99"/>
      <c r="S33" s="100"/>
      <c r="T33" s="52"/>
      <c r="U33" s="52"/>
      <c r="V33" s="52"/>
      <c r="W33" s="100"/>
    </row>
    <row r="34" spans="1:23" x14ac:dyDescent="0.3">
      <c r="A34" s="114">
        <v>46193</v>
      </c>
      <c r="B34" s="115">
        <v>0.58333333333333337</v>
      </c>
      <c r="C34" s="116" t="s">
        <v>80</v>
      </c>
      <c r="D34" s="117">
        <v>2</v>
      </c>
      <c r="E34" s="117" t="s">
        <v>1</v>
      </c>
      <c r="F34" s="117">
        <v>2</v>
      </c>
      <c r="G34" s="116" t="s">
        <v>14</v>
      </c>
      <c r="K34" s="8" t="str">
        <f t="shared" si="0"/>
        <v>EMPATE</v>
      </c>
      <c r="L34" s="9">
        <f t="shared" si="1"/>
        <v>2</v>
      </c>
      <c r="M34" s="9">
        <f t="shared" si="2"/>
        <v>2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98"/>
      <c r="R34" s="99"/>
      <c r="S34" s="100"/>
      <c r="T34" s="52"/>
      <c r="U34" s="52"/>
      <c r="V34" s="52"/>
      <c r="W34" s="100"/>
    </row>
    <row r="35" spans="1:23" x14ac:dyDescent="0.3">
      <c r="A35" s="114">
        <v>46193</v>
      </c>
      <c r="B35" s="115">
        <v>0.70833333333333337</v>
      </c>
      <c r="C35" s="116" t="s">
        <v>12</v>
      </c>
      <c r="D35" s="117">
        <v>3</v>
      </c>
      <c r="E35" s="117" t="s">
        <v>1</v>
      </c>
      <c r="F35" s="117">
        <v>1</v>
      </c>
      <c r="G35" s="116" t="s">
        <v>123</v>
      </c>
      <c r="K35" s="8" t="str">
        <f t="shared" si="0"/>
        <v>Alemanha</v>
      </c>
      <c r="L35" s="9">
        <f t="shared" si="1"/>
        <v>3</v>
      </c>
      <c r="M35" s="9">
        <f t="shared" si="2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98"/>
      <c r="R35" s="99"/>
      <c r="S35" s="100"/>
      <c r="T35" s="52"/>
      <c r="U35" s="52"/>
      <c r="V35" s="52"/>
      <c r="W35" s="100"/>
    </row>
    <row r="36" spans="1:23" x14ac:dyDescent="0.3">
      <c r="A36" s="114">
        <v>46193</v>
      </c>
      <c r="B36" s="115">
        <v>0.875</v>
      </c>
      <c r="C36" s="116" t="s">
        <v>107</v>
      </c>
      <c r="D36" s="117">
        <v>2</v>
      </c>
      <c r="E36" s="117" t="s">
        <v>1</v>
      </c>
      <c r="F36" s="117">
        <v>0</v>
      </c>
      <c r="G36" s="116" t="s">
        <v>122</v>
      </c>
      <c r="K36" s="8" t="str">
        <f t="shared" si="0"/>
        <v>Equador</v>
      </c>
      <c r="L36" s="9">
        <f t="shared" si="1"/>
        <v>2</v>
      </c>
      <c r="M36" s="9">
        <f t="shared" si="2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98"/>
      <c r="R36" s="99"/>
      <c r="S36" s="100"/>
      <c r="T36" s="52"/>
      <c r="U36" s="52"/>
      <c r="V36" s="52"/>
      <c r="W36" s="100"/>
    </row>
    <row r="37" spans="1:23" x14ac:dyDescent="0.3">
      <c r="A37" s="114">
        <v>46194</v>
      </c>
      <c r="B37" s="115">
        <v>4.1666666666666664E-2</v>
      </c>
      <c r="C37" s="116" t="s">
        <v>17</v>
      </c>
      <c r="D37" s="117">
        <v>1</v>
      </c>
      <c r="E37" s="117" t="s">
        <v>1</v>
      </c>
      <c r="F37" s="117">
        <v>2</v>
      </c>
      <c r="G37" s="116" t="s">
        <v>19</v>
      </c>
      <c r="K37" s="8" t="str">
        <f t="shared" si="0"/>
        <v>Japão</v>
      </c>
      <c r="L37" s="9">
        <f t="shared" si="1"/>
        <v>2</v>
      </c>
      <c r="M37" s="9">
        <f t="shared" si="2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98"/>
      <c r="R37" s="99"/>
      <c r="S37" s="100"/>
      <c r="T37" s="52"/>
      <c r="U37" s="52"/>
      <c r="V37" s="52"/>
      <c r="W37" s="100"/>
    </row>
    <row r="38" spans="1:23" x14ac:dyDescent="0.3">
      <c r="A38" s="114">
        <v>46194</v>
      </c>
      <c r="B38" s="115">
        <v>0.54166666666666663</v>
      </c>
      <c r="C38" s="116" t="s">
        <v>6</v>
      </c>
      <c r="D38" s="117">
        <v>2</v>
      </c>
      <c r="E38" s="117" t="s">
        <v>1</v>
      </c>
      <c r="F38" s="117">
        <v>0</v>
      </c>
      <c r="G38" s="116" t="s">
        <v>2</v>
      </c>
      <c r="K38" s="8" t="str">
        <f t="shared" si="0"/>
        <v>Espanha</v>
      </c>
      <c r="L38" s="9">
        <f t="shared" si="1"/>
        <v>2</v>
      </c>
      <c r="M38" s="9">
        <f t="shared" si="2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98"/>
      <c r="R38" s="99"/>
      <c r="S38" s="100"/>
      <c r="T38" s="52"/>
      <c r="U38" s="52"/>
      <c r="V38" s="52"/>
      <c r="W38" s="100"/>
    </row>
    <row r="39" spans="1:23" x14ac:dyDescent="0.3">
      <c r="A39" s="114">
        <v>46194</v>
      </c>
      <c r="B39" s="115">
        <v>0.66666666666666663</v>
      </c>
      <c r="C39" s="116" t="s">
        <v>16</v>
      </c>
      <c r="D39" s="117">
        <v>2</v>
      </c>
      <c r="E39" s="117" t="s">
        <v>1</v>
      </c>
      <c r="F39" s="117">
        <v>1</v>
      </c>
      <c r="G39" s="116" t="s">
        <v>108</v>
      </c>
      <c r="K39" s="8" t="str">
        <f t="shared" si="0"/>
        <v>Bélgica</v>
      </c>
      <c r="L39" s="9">
        <f t="shared" si="1"/>
        <v>2</v>
      </c>
      <c r="M39" s="9">
        <f t="shared" si="2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98"/>
      <c r="R39" s="99"/>
      <c r="S39" s="100"/>
      <c r="T39" s="52"/>
      <c r="U39" s="52"/>
      <c r="V39" s="52"/>
      <c r="W39" s="100"/>
    </row>
    <row r="40" spans="1:23" x14ac:dyDescent="0.3">
      <c r="A40" s="114">
        <v>46194</v>
      </c>
      <c r="B40" s="115">
        <v>0.79166666666666663</v>
      </c>
      <c r="C40" s="116" t="s">
        <v>3</v>
      </c>
      <c r="D40" s="117">
        <v>2</v>
      </c>
      <c r="E40" s="117" t="s">
        <v>1</v>
      </c>
      <c r="F40" s="117">
        <v>0</v>
      </c>
      <c r="G40" s="116" t="s">
        <v>126</v>
      </c>
      <c r="K40" s="8" t="str">
        <f t="shared" si="0"/>
        <v>Uruguai</v>
      </c>
      <c r="L40" s="9">
        <f t="shared" si="1"/>
        <v>2</v>
      </c>
      <c r="M40" s="9">
        <f t="shared" si="2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98"/>
      <c r="R40" s="99"/>
      <c r="S40" s="100"/>
      <c r="T40" s="52"/>
      <c r="U40" s="52"/>
      <c r="V40" s="52"/>
      <c r="W40" s="100"/>
    </row>
    <row r="41" spans="1:23" x14ac:dyDescent="0.3">
      <c r="A41" s="114">
        <v>46194</v>
      </c>
      <c r="B41" s="115">
        <v>0.91666666666666663</v>
      </c>
      <c r="C41" s="116" t="s">
        <v>125</v>
      </c>
      <c r="D41" s="117">
        <v>1</v>
      </c>
      <c r="E41" s="117" t="s">
        <v>1</v>
      </c>
      <c r="F41" s="117">
        <v>1</v>
      </c>
      <c r="G41" s="116" t="s">
        <v>124</v>
      </c>
      <c r="K41" s="8" t="str">
        <f t="shared" si="0"/>
        <v>EMPATE</v>
      </c>
      <c r="L41" s="9">
        <f t="shared" si="1"/>
        <v>1</v>
      </c>
      <c r="M41" s="9">
        <f t="shared" si="2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98"/>
      <c r="R41" s="99"/>
      <c r="S41" s="100"/>
      <c r="T41" s="52"/>
      <c r="U41" s="52"/>
      <c r="V41" s="52"/>
      <c r="W41" s="100"/>
    </row>
    <row r="42" spans="1:23" x14ac:dyDescent="0.3">
      <c r="A42" s="114">
        <v>46195</v>
      </c>
      <c r="B42" s="115">
        <v>0.58333333333333337</v>
      </c>
      <c r="C42" s="116" t="s">
        <v>9</v>
      </c>
      <c r="D42" s="117">
        <v>2</v>
      </c>
      <c r="E42" s="117" t="s">
        <v>1</v>
      </c>
      <c r="F42" s="117">
        <v>1</v>
      </c>
      <c r="G42" s="116" t="s">
        <v>130</v>
      </c>
      <c r="K42" s="8" t="str">
        <f t="shared" si="0"/>
        <v>Argentina</v>
      </c>
      <c r="L42" s="9">
        <f t="shared" si="1"/>
        <v>2</v>
      </c>
      <c r="M42" s="9">
        <f t="shared" si="2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98"/>
      <c r="R42" s="99"/>
      <c r="S42" s="100"/>
      <c r="T42" s="52"/>
      <c r="U42" s="52"/>
      <c r="V42" s="52"/>
      <c r="W42" s="100"/>
    </row>
    <row r="43" spans="1:23" x14ac:dyDescent="0.3">
      <c r="A43" s="114">
        <v>46195</v>
      </c>
      <c r="B43" s="115">
        <v>0.75</v>
      </c>
      <c r="C43" s="116" t="s">
        <v>7</v>
      </c>
      <c r="D43" s="117">
        <v>3</v>
      </c>
      <c r="E43" s="117" t="s">
        <v>1</v>
      </c>
      <c r="F43" s="117">
        <v>0</v>
      </c>
      <c r="G43" s="116" t="s">
        <v>127</v>
      </c>
      <c r="K43" s="8" t="str">
        <f t="shared" si="0"/>
        <v>França</v>
      </c>
      <c r="L43" s="9">
        <f t="shared" si="1"/>
        <v>3</v>
      </c>
      <c r="M43" s="9">
        <f t="shared" si="2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98"/>
      <c r="R43" s="99"/>
      <c r="S43" s="100"/>
      <c r="T43" s="52"/>
      <c r="U43" s="52"/>
      <c r="V43" s="52"/>
      <c r="W43" s="100"/>
    </row>
    <row r="44" spans="1:23" x14ac:dyDescent="0.3">
      <c r="A44" s="114">
        <v>46195</v>
      </c>
      <c r="B44" s="115">
        <v>0.875</v>
      </c>
      <c r="C44" s="116" t="s">
        <v>128</v>
      </c>
      <c r="D44" s="117">
        <v>2</v>
      </c>
      <c r="E44" s="117" t="s">
        <v>1</v>
      </c>
      <c r="F44" s="117">
        <v>1</v>
      </c>
      <c r="G44" s="116" t="s">
        <v>20</v>
      </c>
      <c r="K44" s="8" t="str">
        <f t="shared" si="0"/>
        <v>Noruega</v>
      </c>
      <c r="L44" s="9">
        <f t="shared" si="1"/>
        <v>2</v>
      </c>
      <c r="M44" s="9">
        <f t="shared" si="2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98"/>
      <c r="R44" s="99"/>
      <c r="S44" s="100"/>
      <c r="T44" s="52"/>
      <c r="U44" s="52"/>
      <c r="V44" s="52"/>
      <c r="W44" s="100"/>
    </row>
    <row r="45" spans="1:23" x14ac:dyDescent="0.3">
      <c r="A45" s="114">
        <v>46196</v>
      </c>
      <c r="B45" s="115">
        <v>0</v>
      </c>
      <c r="C45" s="116" t="s">
        <v>131</v>
      </c>
      <c r="D45" s="117">
        <v>0</v>
      </c>
      <c r="E45" s="117" t="s">
        <v>1</v>
      </c>
      <c r="F45" s="117">
        <v>1</v>
      </c>
      <c r="G45" s="116" t="s">
        <v>129</v>
      </c>
      <c r="K45" s="8" t="str">
        <f t="shared" si="0"/>
        <v>Argélia</v>
      </c>
      <c r="L45" s="9">
        <f t="shared" si="1"/>
        <v>1</v>
      </c>
      <c r="M45" s="9">
        <f t="shared" si="2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3</v>
      </c>
      <c r="Q45" s="98"/>
      <c r="R45" s="99"/>
      <c r="S45" s="100"/>
      <c r="T45" s="52"/>
      <c r="U45" s="52"/>
      <c r="V45" s="52"/>
      <c r="W45" s="100"/>
    </row>
    <row r="46" spans="1:23" ht="15" customHeight="1" x14ac:dyDescent="0.3">
      <c r="A46" s="114">
        <v>46196</v>
      </c>
      <c r="B46" s="115">
        <v>0.58333333333333337</v>
      </c>
      <c r="C46" s="116" t="s">
        <v>5</v>
      </c>
      <c r="D46" s="117">
        <v>3</v>
      </c>
      <c r="E46" s="117" t="s">
        <v>1</v>
      </c>
      <c r="F46" s="117">
        <v>0</v>
      </c>
      <c r="G46" s="116" t="s">
        <v>133</v>
      </c>
      <c r="K46" s="8" t="str">
        <f t="shared" ref="K46:K73" si="4">IF(D46="","",IF(D46&gt;F46,C46,IF(F46&gt;D46,G46,"EMPATE")))</f>
        <v>Portugal</v>
      </c>
      <c r="L46" s="9">
        <f t="shared" ref="L46:L73" si="5">IF(D46="","",IF(D46&gt;F46,D46,IF(F46&gt;D46,F46,D46)))</f>
        <v>3</v>
      </c>
      <c r="M46" s="9">
        <f t="shared" ref="M46:M73" si="6">IF(D46="","",IF(D46&lt;F46,D46,IF(F46&lt;D46,F46,D46)))</f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98"/>
      <c r="R46" s="99"/>
      <c r="S46" s="100"/>
      <c r="T46" s="52"/>
      <c r="U46" s="52"/>
      <c r="V46" s="52"/>
      <c r="W46" s="100"/>
    </row>
    <row r="47" spans="1:23" x14ac:dyDescent="0.3">
      <c r="A47" s="114">
        <v>46196</v>
      </c>
      <c r="B47" s="115">
        <v>0.70833333333333337</v>
      </c>
      <c r="C47" s="116" t="s">
        <v>18</v>
      </c>
      <c r="D47" s="117">
        <v>2</v>
      </c>
      <c r="E47" s="117" t="s">
        <v>1</v>
      </c>
      <c r="F47" s="117">
        <v>1</v>
      </c>
      <c r="G47" s="116" t="s">
        <v>111</v>
      </c>
      <c r="K47" s="8" t="str">
        <f t="shared" si="4"/>
        <v>Inglaterra</v>
      </c>
      <c r="L47" s="9">
        <f t="shared" si="5"/>
        <v>2</v>
      </c>
      <c r="M47" s="9">
        <f t="shared" si="6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98"/>
      <c r="R47" s="99"/>
      <c r="S47" s="100"/>
      <c r="T47" s="52"/>
      <c r="U47" s="52"/>
      <c r="V47" s="52"/>
      <c r="W47" s="100"/>
    </row>
    <row r="48" spans="1:23" x14ac:dyDescent="0.3">
      <c r="A48" s="114">
        <v>46196</v>
      </c>
      <c r="B48" s="115">
        <v>0.83333333333333337</v>
      </c>
      <c r="C48" s="116" t="s">
        <v>135</v>
      </c>
      <c r="D48" s="117">
        <v>0</v>
      </c>
      <c r="E48" s="117" t="s">
        <v>1</v>
      </c>
      <c r="F48" s="117">
        <v>2</v>
      </c>
      <c r="G48" s="116" t="s">
        <v>10</v>
      </c>
      <c r="K48" s="8" t="str">
        <f t="shared" si="4"/>
        <v>Croácia</v>
      </c>
      <c r="L48" s="9">
        <f t="shared" si="5"/>
        <v>2</v>
      </c>
      <c r="M48" s="9">
        <f t="shared" si="6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98"/>
      <c r="R48" s="99"/>
      <c r="S48" s="100"/>
      <c r="T48" s="52"/>
      <c r="U48" s="52"/>
      <c r="V48" s="52"/>
      <c r="W48" s="100"/>
    </row>
    <row r="49" spans="1:23" x14ac:dyDescent="0.3">
      <c r="A49" s="118">
        <v>46196</v>
      </c>
      <c r="B49" s="115">
        <v>0.95833333333333337</v>
      </c>
      <c r="C49" s="119" t="s">
        <v>134</v>
      </c>
      <c r="D49" s="120">
        <v>2</v>
      </c>
      <c r="E49" s="120" t="s">
        <v>1</v>
      </c>
      <c r="F49" s="120">
        <v>0</v>
      </c>
      <c r="G49" s="119" t="s">
        <v>132</v>
      </c>
      <c r="K49" s="8" t="str">
        <f t="shared" si="4"/>
        <v>Colômbia</v>
      </c>
      <c r="L49" s="9">
        <f t="shared" si="5"/>
        <v>2</v>
      </c>
      <c r="M49" s="9">
        <f t="shared" si="6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98"/>
      <c r="R49" s="99"/>
      <c r="S49" s="100"/>
      <c r="T49" s="52"/>
      <c r="U49" s="52"/>
      <c r="V49" s="52"/>
      <c r="W49" s="100"/>
    </row>
    <row r="50" spans="1:23" x14ac:dyDescent="0.3">
      <c r="A50" s="67">
        <v>46197</v>
      </c>
      <c r="B50" s="65">
        <v>0.66666666666666663</v>
      </c>
      <c r="C50" s="68" t="s">
        <v>74</v>
      </c>
      <c r="D50" s="69">
        <v>1</v>
      </c>
      <c r="E50" s="69" t="s">
        <v>1</v>
      </c>
      <c r="F50" s="69">
        <v>1</v>
      </c>
      <c r="G50" s="68" t="s">
        <v>110</v>
      </c>
      <c r="K50" s="8" t="str">
        <f t="shared" si="4"/>
        <v>EMPATE</v>
      </c>
      <c r="L50" s="9">
        <f t="shared" si="5"/>
        <v>1</v>
      </c>
      <c r="M50" s="9">
        <f t="shared" si="6"/>
        <v>1</v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  <c r="Q50" s="100"/>
      <c r="R50" s="52"/>
      <c r="S50" s="52"/>
      <c r="T50" s="52"/>
      <c r="U50" s="100"/>
    </row>
    <row r="51" spans="1:23" x14ac:dyDescent="0.3">
      <c r="A51" s="67">
        <v>46197</v>
      </c>
      <c r="B51" s="65">
        <v>0.66666666666666663</v>
      </c>
      <c r="C51" s="68" t="s">
        <v>117</v>
      </c>
      <c r="D51" s="69">
        <v>2</v>
      </c>
      <c r="E51" s="69" t="s">
        <v>1</v>
      </c>
      <c r="F51" s="69">
        <v>0</v>
      </c>
      <c r="G51" s="68" t="s">
        <v>99</v>
      </c>
      <c r="K51" s="8" t="str">
        <f t="shared" si="4"/>
        <v>Bósnia</v>
      </c>
      <c r="L51" s="9">
        <f t="shared" si="5"/>
        <v>2</v>
      </c>
      <c r="M51" s="9">
        <f t="shared" si="6"/>
        <v>0</v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  <c r="Q51" s="100"/>
      <c r="R51" s="52"/>
      <c r="S51" s="52"/>
      <c r="T51" s="52"/>
      <c r="U51" s="100"/>
    </row>
    <row r="52" spans="1:23" x14ac:dyDescent="0.3">
      <c r="A52" s="67">
        <v>46197</v>
      </c>
      <c r="B52" s="65">
        <v>0.79166666666666663</v>
      </c>
      <c r="C52" s="70" t="s">
        <v>4</v>
      </c>
      <c r="D52" s="69">
        <v>3</v>
      </c>
      <c r="E52" s="69" t="s">
        <v>1</v>
      </c>
      <c r="F52" s="69">
        <v>0</v>
      </c>
      <c r="G52" s="70" t="s">
        <v>118</v>
      </c>
      <c r="K52" s="8" t="str">
        <f t="shared" si="4"/>
        <v>Marrocos</v>
      </c>
      <c r="L52" s="9">
        <f t="shared" si="5"/>
        <v>3</v>
      </c>
      <c r="M52" s="9">
        <f t="shared" si="6"/>
        <v>0</v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  <c r="Q52" s="140"/>
      <c r="R52" s="52"/>
      <c r="S52" s="52"/>
      <c r="T52" s="52"/>
      <c r="U52" s="140"/>
    </row>
    <row r="53" spans="1:23" x14ac:dyDescent="0.3">
      <c r="A53" s="67">
        <v>46197</v>
      </c>
      <c r="B53" s="65">
        <v>0.79166666666666663</v>
      </c>
      <c r="C53" s="70" t="s">
        <v>119</v>
      </c>
      <c r="D53" s="69">
        <v>0</v>
      </c>
      <c r="E53" s="69" t="s">
        <v>1</v>
      </c>
      <c r="F53" s="69">
        <v>3</v>
      </c>
      <c r="G53" s="70" t="s">
        <v>11</v>
      </c>
      <c r="K53" s="8" t="str">
        <f t="shared" si="4"/>
        <v>Brasil</v>
      </c>
      <c r="L53" s="9">
        <f t="shared" si="5"/>
        <v>3</v>
      </c>
      <c r="M53" s="9">
        <f t="shared" si="6"/>
        <v>0</v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  <c r="Q53" s="140"/>
      <c r="R53" s="52"/>
      <c r="S53" s="52"/>
      <c r="T53" s="52"/>
      <c r="U53" s="140"/>
    </row>
    <row r="54" spans="1:23" x14ac:dyDescent="0.3">
      <c r="A54" s="64">
        <v>46197</v>
      </c>
      <c r="B54" s="65">
        <v>0.91666666666666663</v>
      </c>
      <c r="C54" s="66" t="s">
        <v>90</v>
      </c>
      <c r="D54" s="49">
        <v>0</v>
      </c>
      <c r="E54" s="49" t="s">
        <v>1</v>
      </c>
      <c r="F54" s="49">
        <v>2</v>
      </c>
      <c r="G54" s="66" t="s">
        <v>15</v>
      </c>
      <c r="K54" s="8" t="str">
        <f t="shared" si="4"/>
        <v>Coréia do Sul</v>
      </c>
      <c r="L54" s="9">
        <f t="shared" si="5"/>
        <v>2</v>
      </c>
      <c r="M54" s="9">
        <f t="shared" si="6"/>
        <v>0</v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  <c r="Q54" s="100"/>
      <c r="R54" s="52"/>
      <c r="S54" s="52"/>
      <c r="T54" s="52"/>
      <c r="U54" s="100"/>
    </row>
    <row r="55" spans="1:23" x14ac:dyDescent="0.3">
      <c r="A55" s="64">
        <v>46197</v>
      </c>
      <c r="B55" s="65">
        <v>0.91666666666666663</v>
      </c>
      <c r="C55" s="66" t="s">
        <v>116</v>
      </c>
      <c r="D55" s="49">
        <v>1</v>
      </c>
      <c r="E55" s="49" t="s">
        <v>1</v>
      </c>
      <c r="F55" s="49">
        <v>2</v>
      </c>
      <c r="G55" s="66" t="s">
        <v>13</v>
      </c>
      <c r="K55" s="8" t="str">
        <f t="shared" si="4"/>
        <v>México</v>
      </c>
      <c r="L55" s="9">
        <f t="shared" si="5"/>
        <v>2</v>
      </c>
      <c r="M55" s="9">
        <f t="shared" si="6"/>
        <v>1</v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  <c r="Q55" s="100"/>
      <c r="R55" s="52"/>
      <c r="S55" s="52"/>
      <c r="T55" s="52"/>
      <c r="U55" s="100"/>
    </row>
    <row r="56" spans="1:23" x14ac:dyDescent="0.3">
      <c r="A56" s="64">
        <v>46198</v>
      </c>
      <c r="B56" s="65">
        <v>0.70833333333333337</v>
      </c>
      <c r="C56" s="48" t="s">
        <v>107</v>
      </c>
      <c r="D56" s="49">
        <v>1</v>
      </c>
      <c r="E56" s="49" t="s">
        <v>1</v>
      </c>
      <c r="F56" s="49">
        <v>2</v>
      </c>
      <c r="G56" s="48" t="s">
        <v>12</v>
      </c>
      <c r="K56" s="8" t="str">
        <f t="shared" si="4"/>
        <v>Alemanha</v>
      </c>
      <c r="L56" s="9">
        <f t="shared" si="5"/>
        <v>2</v>
      </c>
      <c r="M56" s="9">
        <f t="shared" si="6"/>
        <v>1</v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  <c r="Q56" s="140"/>
      <c r="R56" s="52"/>
      <c r="S56" s="52"/>
      <c r="T56" s="52"/>
      <c r="U56" s="140"/>
    </row>
    <row r="57" spans="1:23" x14ac:dyDescent="0.3">
      <c r="A57" s="64">
        <v>46198</v>
      </c>
      <c r="B57" s="65">
        <v>0.70833333333333337</v>
      </c>
      <c r="C57" s="48" t="s">
        <v>122</v>
      </c>
      <c r="D57" s="49">
        <v>0</v>
      </c>
      <c r="E57" s="49" t="s">
        <v>1</v>
      </c>
      <c r="F57" s="49">
        <v>3</v>
      </c>
      <c r="G57" s="48" t="s">
        <v>123</v>
      </c>
      <c r="K57" s="8" t="str">
        <f t="shared" si="4"/>
        <v>Costa do Marfim</v>
      </c>
      <c r="L57" s="9">
        <f t="shared" si="5"/>
        <v>3</v>
      </c>
      <c r="M57" s="9">
        <f t="shared" si="6"/>
        <v>0</v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  <c r="Q57" s="140"/>
      <c r="R57" s="52"/>
      <c r="S57" s="52"/>
      <c r="T57" s="52"/>
      <c r="U57" s="140"/>
    </row>
    <row r="58" spans="1:23" x14ac:dyDescent="0.3">
      <c r="A58" s="64">
        <v>46198</v>
      </c>
      <c r="B58" s="65">
        <v>0.83333333333333337</v>
      </c>
      <c r="C58" s="48" t="s">
        <v>17</v>
      </c>
      <c r="D58" s="49">
        <v>0</v>
      </c>
      <c r="E58" s="49" t="s">
        <v>1</v>
      </c>
      <c r="F58" s="49">
        <v>3</v>
      </c>
      <c r="G58" s="48" t="s">
        <v>80</v>
      </c>
      <c r="K58" s="8" t="str">
        <f t="shared" si="4"/>
        <v>Holanda</v>
      </c>
      <c r="L58" s="9">
        <f t="shared" si="5"/>
        <v>3</v>
      </c>
      <c r="M58" s="9">
        <f t="shared" si="6"/>
        <v>0</v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  <c r="Q58" s="140"/>
      <c r="R58" s="52"/>
      <c r="S58" s="52"/>
      <c r="T58" s="52"/>
      <c r="U58" s="140"/>
    </row>
    <row r="59" spans="1:23" x14ac:dyDescent="0.3">
      <c r="A59" s="64">
        <v>46198</v>
      </c>
      <c r="B59" s="65">
        <v>0.83333333333333337</v>
      </c>
      <c r="C59" s="48" t="s">
        <v>19</v>
      </c>
      <c r="D59" s="49">
        <v>2</v>
      </c>
      <c r="E59" s="49" t="s">
        <v>1</v>
      </c>
      <c r="F59" s="49">
        <v>1</v>
      </c>
      <c r="G59" s="48" t="s">
        <v>14</v>
      </c>
      <c r="K59" s="8" t="str">
        <f t="shared" si="4"/>
        <v>Japão</v>
      </c>
      <c r="L59" s="9">
        <f t="shared" si="5"/>
        <v>2</v>
      </c>
      <c r="M59" s="9">
        <f t="shared" si="6"/>
        <v>1</v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  <c r="Q59" s="140"/>
      <c r="R59" s="52"/>
      <c r="S59" s="52"/>
      <c r="T59" s="52"/>
      <c r="U59" s="140"/>
    </row>
    <row r="60" spans="1:23" x14ac:dyDescent="0.3">
      <c r="A60" s="64">
        <v>46198</v>
      </c>
      <c r="B60" s="65">
        <v>0.95833333333333337</v>
      </c>
      <c r="C60" s="48" t="s">
        <v>121</v>
      </c>
      <c r="D60" s="49">
        <v>1</v>
      </c>
      <c r="E60" s="49" t="s">
        <v>1</v>
      </c>
      <c r="F60" s="49">
        <v>2</v>
      </c>
      <c r="G60" s="48" t="s">
        <v>109</v>
      </c>
      <c r="K60" s="8" t="str">
        <f t="shared" si="4"/>
        <v>Estados Unidos</v>
      </c>
      <c r="L60" s="9">
        <f t="shared" si="5"/>
        <v>2</v>
      </c>
      <c r="M60" s="9">
        <f t="shared" si="6"/>
        <v>1</v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  <c r="Q60" s="140"/>
      <c r="R60" s="52"/>
      <c r="S60" s="52"/>
      <c r="T60" s="52"/>
      <c r="U60" s="140"/>
    </row>
    <row r="61" spans="1:23" x14ac:dyDescent="0.3">
      <c r="A61" s="64">
        <v>46198</v>
      </c>
      <c r="B61" s="65">
        <v>0.95833333333333337</v>
      </c>
      <c r="C61" s="48" t="s">
        <v>120</v>
      </c>
      <c r="D61" s="49">
        <v>1</v>
      </c>
      <c r="E61" s="49" t="s">
        <v>1</v>
      </c>
      <c r="F61" s="49">
        <v>1</v>
      </c>
      <c r="G61" s="48" t="s">
        <v>8</v>
      </c>
      <c r="K61" s="8" t="str">
        <f t="shared" si="4"/>
        <v>EMPATE</v>
      </c>
      <c r="L61" s="9">
        <f t="shared" si="5"/>
        <v>1</v>
      </c>
      <c r="M61" s="9">
        <f t="shared" si="6"/>
        <v>1</v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  <c r="Q61" s="140"/>
      <c r="R61" s="52"/>
      <c r="S61" s="52"/>
      <c r="T61" s="52"/>
      <c r="U61" s="140"/>
    </row>
    <row r="62" spans="1:23" x14ac:dyDescent="0.3">
      <c r="A62" s="64">
        <v>46199</v>
      </c>
      <c r="B62" s="65">
        <v>0.66666666666666663</v>
      </c>
      <c r="C62" s="48" t="s">
        <v>20</v>
      </c>
      <c r="D62" s="49">
        <v>3</v>
      </c>
      <c r="E62" s="49" t="s">
        <v>1</v>
      </c>
      <c r="F62" s="49">
        <v>1</v>
      </c>
      <c r="G62" s="48" t="s">
        <v>127</v>
      </c>
      <c r="K62" s="8" t="str">
        <f t="shared" si="4"/>
        <v>Senegal</v>
      </c>
      <c r="L62" s="9">
        <f t="shared" si="5"/>
        <v>3</v>
      </c>
      <c r="M62" s="9">
        <f t="shared" si="6"/>
        <v>1</v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  <c r="Q62" s="140"/>
      <c r="R62" s="52"/>
      <c r="S62" s="52"/>
      <c r="T62" s="52"/>
      <c r="U62" s="140"/>
    </row>
    <row r="63" spans="1:23" x14ac:dyDescent="0.3">
      <c r="A63" s="64">
        <v>46199</v>
      </c>
      <c r="B63" s="65">
        <v>0.66666666666666663</v>
      </c>
      <c r="C63" s="48" t="s">
        <v>128</v>
      </c>
      <c r="D63" s="49">
        <v>1</v>
      </c>
      <c r="E63" s="49" t="s">
        <v>1</v>
      </c>
      <c r="F63" s="49">
        <v>2</v>
      </c>
      <c r="G63" s="48" t="s">
        <v>7</v>
      </c>
      <c r="K63" s="8" t="str">
        <f t="shared" si="4"/>
        <v>França</v>
      </c>
      <c r="L63" s="9">
        <f t="shared" si="5"/>
        <v>2</v>
      </c>
      <c r="M63" s="9">
        <f t="shared" si="6"/>
        <v>1</v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  <c r="Q63" s="140"/>
      <c r="R63" s="52"/>
      <c r="S63" s="52"/>
      <c r="T63" s="52"/>
      <c r="U63" s="140"/>
    </row>
    <row r="64" spans="1:23" x14ac:dyDescent="0.3">
      <c r="A64" s="64">
        <v>46199</v>
      </c>
      <c r="B64" s="65">
        <v>0.875</v>
      </c>
      <c r="C64" s="48" t="s">
        <v>126</v>
      </c>
      <c r="D64" s="49">
        <v>1</v>
      </c>
      <c r="E64" s="49" t="s">
        <v>1</v>
      </c>
      <c r="F64" s="49">
        <v>1</v>
      </c>
      <c r="G64" s="48" t="s">
        <v>2</v>
      </c>
      <c r="K64" s="8" t="str">
        <f t="shared" si="4"/>
        <v>EMPATE</v>
      </c>
      <c r="L64" s="9">
        <f t="shared" si="5"/>
        <v>1</v>
      </c>
      <c r="M64" s="9">
        <f t="shared" si="6"/>
        <v>1</v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  <c r="Q64" s="140"/>
      <c r="R64" s="52"/>
      <c r="S64" s="52"/>
      <c r="T64" s="52"/>
      <c r="U64" s="140"/>
    </row>
    <row r="65" spans="1:21" x14ac:dyDescent="0.3">
      <c r="A65" s="64">
        <v>46199</v>
      </c>
      <c r="B65" s="65">
        <v>0.875</v>
      </c>
      <c r="C65" s="48" t="s">
        <v>3</v>
      </c>
      <c r="D65" s="49">
        <v>1</v>
      </c>
      <c r="E65" s="49" t="s">
        <v>1</v>
      </c>
      <c r="F65" s="49">
        <v>2</v>
      </c>
      <c r="G65" s="48" t="s">
        <v>6</v>
      </c>
      <c r="K65" s="8" t="str">
        <f t="shared" si="4"/>
        <v>Espanha</v>
      </c>
      <c r="L65" s="9">
        <f t="shared" si="5"/>
        <v>2</v>
      </c>
      <c r="M65" s="9">
        <f t="shared" si="6"/>
        <v>1</v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  <c r="Q65" s="140"/>
      <c r="R65" s="52"/>
      <c r="S65" s="52"/>
      <c r="T65" s="52"/>
      <c r="U65" s="140"/>
    </row>
    <row r="66" spans="1:21" x14ac:dyDescent="0.3">
      <c r="A66" s="64">
        <v>46200</v>
      </c>
      <c r="B66" s="65">
        <v>0</v>
      </c>
      <c r="C66" s="48" t="s">
        <v>124</v>
      </c>
      <c r="D66" s="49">
        <v>1</v>
      </c>
      <c r="E66" s="49" t="s">
        <v>1</v>
      </c>
      <c r="F66" s="49">
        <v>0</v>
      </c>
      <c r="G66" s="48" t="s">
        <v>108</v>
      </c>
      <c r="K66" s="8" t="str">
        <f t="shared" si="4"/>
        <v>Egito</v>
      </c>
      <c r="L66" s="9">
        <f t="shared" si="5"/>
        <v>1</v>
      </c>
      <c r="M66" s="9">
        <f t="shared" si="6"/>
        <v>0</v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  <c r="Q66" s="140"/>
      <c r="R66" s="52"/>
      <c r="S66" s="52"/>
      <c r="T66" s="52"/>
      <c r="U66" s="140"/>
    </row>
    <row r="67" spans="1:21" x14ac:dyDescent="0.3">
      <c r="A67" s="64">
        <v>46200</v>
      </c>
      <c r="B67" s="65">
        <v>0</v>
      </c>
      <c r="C67" s="48" t="s">
        <v>125</v>
      </c>
      <c r="D67" s="49">
        <v>1</v>
      </c>
      <c r="E67" s="49" t="s">
        <v>1</v>
      </c>
      <c r="F67" s="49">
        <v>3</v>
      </c>
      <c r="G67" s="48" t="s">
        <v>16</v>
      </c>
      <c r="K67" s="8" t="str">
        <f t="shared" si="4"/>
        <v>Bélgica</v>
      </c>
      <c r="L67" s="9">
        <f t="shared" si="5"/>
        <v>3</v>
      </c>
      <c r="M67" s="9">
        <f t="shared" si="6"/>
        <v>1</v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  <c r="Q67" s="140"/>
      <c r="R67" s="52"/>
      <c r="S67" s="52"/>
      <c r="T67" s="52"/>
      <c r="U67" s="140"/>
    </row>
    <row r="68" spans="1:21" x14ac:dyDescent="0.3">
      <c r="A68" s="64">
        <v>46200</v>
      </c>
      <c r="B68" s="65">
        <v>0.75</v>
      </c>
      <c r="C68" s="48" t="s">
        <v>10</v>
      </c>
      <c r="D68" s="49">
        <v>2</v>
      </c>
      <c r="E68" s="49" t="s">
        <v>1</v>
      </c>
      <c r="F68" s="49">
        <v>1</v>
      </c>
      <c r="G68" s="48" t="s">
        <v>111</v>
      </c>
      <c r="K68" s="8" t="str">
        <f t="shared" si="4"/>
        <v>Croácia</v>
      </c>
      <c r="L68" s="9">
        <f t="shared" si="5"/>
        <v>2</v>
      </c>
      <c r="M68" s="9">
        <f t="shared" si="6"/>
        <v>1</v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  <c r="Q68" s="140"/>
      <c r="R68" s="52"/>
      <c r="S68" s="52"/>
      <c r="T68" s="52"/>
      <c r="U68" s="140"/>
    </row>
    <row r="69" spans="1:21" x14ac:dyDescent="0.3">
      <c r="A69" s="64">
        <v>46200</v>
      </c>
      <c r="B69" s="65">
        <v>0.75</v>
      </c>
      <c r="C69" s="48" t="s">
        <v>135</v>
      </c>
      <c r="D69" s="49">
        <v>1</v>
      </c>
      <c r="E69" s="49" t="s">
        <v>1</v>
      </c>
      <c r="F69" s="49">
        <v>4</v>
      </c>
      <c r="G69" s="48" t="s">
        <v>18</v>
      </c>
      <c r="K69" s="8" t="str">
        <f t="shared" si="4"/>
        <v>Inglaterra</v>
      </c>
      <c r="L69" s="9">
        <f t="shared" si="5"/>
        <v>4</v>
      </c>
      <c r="M69" s="9">
        <f t="shared" si="6"/>
        <v>1</v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  <c r="Q69" s="140"/>
      <c r="R69" s="52"/>
      <c r="S69" s="52"/>
      <c r="T69" s="52"/>
      <c r="U69" s="140"/>
    </row>
    <row r="70" spans="1:21" x14ac:dyDescent="0.3">
      <c r="A70" s="64">
        <v>46200</v>
      </c>
      <c r="B70" s="65">
        <v>0.85416666666666663</v>
      </c>
      <c r="C70" s="48" t="s">
        <v>132</v>
      </c>
      <c r="D70" s="49">
        <v>1</v>
      </c>
      <c r="E70" s="49" t="s">
        <v>1</v>
      </c>
      <c r="F70" s="49">
        <v>0</v>
      </c>
      <c r="G70" s="48" t="s">
        <v>133</v>
      </c>
      <c r="K70" s="8" t="str">
        <f t="shared" si="4"/>
        <v>RD Congo</v>
      </c>
      <c r="L70" s="9">
        <f t="shared" si="5"/>
        <v>1</v>
      </c>
      <c r="M70" s="9">
        <f t="shared" si="6"/>
        <v>0</v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  <c r="Q70" s="140"/>
      <c r="R70" s="52"/>
      <c r="S70" s="52"/>
      <c r="T70" s="52"/>
      <c r="U70" s="140"/>
    </row>
    <row r="71" spans="1:21" x14ac:dyDescent="0.3">
      <c r="A71" s="64">
        <v>46200</v>
      </c>
      <c r="B71" s="65">
        <v>0.85416666666666663</v>
      </c>
      <c r="C71" s="48" t="s">
        <v>134</v>
      </c>
      <c r="D71" s="49">
        <v>1</v>
      </c>
      <c r="E71" s="49" t="s">
        <v>1</v>
      </c>
      <c r="F71" s="49">
        <v>2</v>
      </c>
      <c r="G71" s="48" t="s">
        <v>5</v>
      </c>
      <c r="K71" s="8" t="str">
        <f t="shared" si="4"/>
        <v>Portugal</v>
      </c>
      <c r="L71" s="9">
        <f t="shared" si="5"/>
        <v>2</v>
      </c>
      <c r="M71" s="9">
        <f t="shared" si="6"/>
        <v>1</v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  <c r="Q71" s="140"/>
      <c r="R71" s="52"/>
      <c r="S71" s="52"/>
      <c r="T71" s="52"/>
      <c r="U71" s="140"/>
    </row>
    <row r="72" spans="1:21" x14ac:dyDescent="0.3">
      <c r="A72" s="64">
        <v>46200</v>
      </c>
      <c r="B72" s="65">
        <v>0.95833333333333337</v>
      </c>
      <c r="C72" s="48" t="s">
        <v>131</v>
      </c>
      <c r="D72" s="49">
        <v>1</v>
      </c>
      <c r="E72" s="49" t="s">
        <v>1</v>
      </c>
      <c r="F72" s="49">
        <v>3</v>
      </c>
      <c r="G72" s="48" t="s">
        <v>9</v>
      </c>
      <c r="K72" s="8" t="str">
        <f t="shared" si="4"/>
        <v>Argentina</v>
      </c>
      <c r="L72" s="9">
        <f t="shared" si="5"/>
        <v>3</v>
      </c>
      <c r="M72" s="9">
        <f t="shared" si="6"/>
        <v>1</v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  <c r="Q72" s="140"/>
      <c r="R72" s="52"/>
      <c r="S72" s="52"/>
      <c r="T72" s="52"/>
      <c r="U72" s="140"/>
    </row>
    <row r="73" spans="1:21" x14ac:dyDescent="0.3">
      <c r="A73" s="64">
        <v>46200</v>
      </c>
      <c r="B73" s="65">
        <v>0.95833333333333337</v>
      </c>
      <c r="C73" s="48" t="s">
        <v>129</v>
      </c>
      <c r="D73" s="49">
        <v>1</v>
      </c>
      <c r="E73" s="49" t="s">
        <v>1</v>
      </c>
      <c r="F73" s="49">
        <v>1</v>
      </c>
      <c r="G73" s="48" t="s">
        <v>130</v>
      </c>
      <c r="K73" s="8" t="str">
        <f t="shared" si="4"/>
        <v>EMPATE</v>
      </c>
      <c r="L73" s="9">
        <f t="shared" si="5"/>
        <v>1</v>
      </c>
      <c r="M73" s="9">
        <f t="shared" si="6"/>
        <v>1</v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  <c r="Q73" s="140"/>
      <c r="R73" s="52"/>
      <c r="S73" s="52"/>
      <c r="T73" s="52"/>
      <c r="U73" s="140"/>
    </row>
    <row r="74" spans="1:21" x14ac:dyDescent="0.3">
      <c r="A74" s="95">
        <v>46201</v>
      </c>
      <c r="B74" s="96">
        <v>0.66666666666666663</v>
      </c>
      <c r="C74" s="97" t="s">
        <v>142</v>
      </c>
      <c r="D74" s="51"/>
      <c r="E74" s="51" t="s">
        <v>1</v>
      </c>
      <c r="F74" s="51"/>
      <c r="G74" s="97" t="s">
        <v>143</v>
      </c>
      <c r="K74" s="8" t="str">
        <f t="shared" ref="K74:K105" si="7">IF(D74="","",IF(D74&gt;F74,C74,IF(F74&gt;D74,G74,"EMPATE")))</f>
        <v/>
      </c>
      <c r="L74" s="9" t="str">
        <f t="shared" ref="L74:L105" si="8">IF(D74="","",IF(D74&gt;F74,D74,IF(F74&gt;D74,F74,D74)))</f>
        <v/>
      </c>
      <c r="M74" s="9" t="str">
        <f t="shared" ref="M74:M105" si="9">IF(D74="","",IF(D74&lt;F74,D74,IF(F74&lt;D74,F74,D74)))</f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21" x14ac:dyDescent="0.3">
      <c r="A75" s="95">
        <v>46202</v>
      </c>
      <c r="B75" s="96">
        <v>0.58333333333333337</v>
      </c>
      <c r="C75" s="97" t="s">
        <v>154</v>
      </c>
      <c r="D75" s="51"/>
      <c r="E75" s="51" t="s">
        <v>1</v>
      </c>
      <c r="F75" s="51"/>
      <c r="G75" s="97" t="s">
        <v>155</v>
      </c>
      <c r="K75" s="8" t="str">
        <f t="shared" si="7"/>
        <v/>
      </c>
      <c r="L75" s="9" t="str">
        <f t="shared" si="8"/>
        <v/>
      </c>
      <c r="M75" s="9" t="str">
        <f t="shared" si="9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21" x14ac:dyDescent="0.3">
      <c r="A76" s="95">
        <v>46202</v>
      </c>
      <c r="B76" s="96">
        <v>0.72916666666666663</v>
      </c>
      <c r="C76" s="97" t="s">
        <v>138</v>
      </c>
      <c r="D76" s="51"/>
      <c r="E76" s="51" t="s">
        <v>1</v>
      </c>
      <c r="F76" s="51"/>
      <c r="G76" s="97" t="s">
        <v>139</v>
      </c>
      <c r="K76" s="8" t="str">
        <f t="shared" si="7"/>
        <v/>
      </c>
      <c r="L76" s="9" t="str">
        <f t="shared" si="8"/>
        <v/>
      </c>
      <c r="M76" s="9" t="str">
        <f t="shared" si="9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21" x14ac:dyDescent="0.3">
      <c r="A77" s="95">
        <v>46202</v>
      </c>
      <c r="B77" s="96">
        <v>0.91666666666666663</v>
      </c>
      <c r="C77" s="97" t="s">
        <v>144</v>
      </c>
      <c r="D77" s="51"/>
      <c r="E77" s="51" t="s">
        <v>1</v>
      </c>
      <c r="F77" s="51"/>
      <c r="G77" s="97" t="s">
        <v>145</v>
      </c>
      <c r="K77" s="8" t="str">
        <f t="shared" si="7"/>
        <v/>
      </c>
      <c r="L77" s="9" t="str">
        <f t="shared" si="8"/>
        <v/>
      </c>
      <c r="M77" s="9" t="str">
        <f t="shared" si="9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21" x14ac:dyDescent="0.3">
      <c r="A78" s="95">
        <v>46203</v>
      </c>
      <c r="B78" s="96">
        <v>0.58333333333333337</v>
      </c>
      <c r="C78" s="97" t="s">
        <v>156</v>
      </c>
      <c r="D78" s="51"/>
      <c r="E78" s="51" t="s">
        <v>1</v>
      </c>
      <c r="F78" s="51"/>
      <c r="G78" s="97" t="s">
        <v>157</v>
      </c>
      <c r="K78" s="8" t="str">
        <f t="shared" si="7"/>
        <v/>
      </c>
      <c r="L78" s="9" t="str">
        <f t="shared" si="8"/>
        <v/>
      </c>
      <c r="M78" s="9" t="str">
        <f t="shared" si="9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21" x14ac:dyDescent="0.3">
      <c r="A79" s="95">
        <v>46203</v>
      </c>
      <c r="B79" s="96">
        <v>0.75</v>
      </c>
      <c r="C79" s="97" t="s">
        <v>140</v>
      </c>
      <c r="D79" s="51"/>
      <c r="E79" s="51" t="s">
        <v>1</v>
      </c>
      <c r="F79" s="51"/>
      <c r="G79" s="97" t="s">
        <v>141</v>
      </c>
      <c r="K79" s="8" t="str">
        <f t="shared" si="7"/>
        <v/>
      </c>
      <c r="L79" s="9" t="str">
        <f t="shared" si="8"/>
        <v/>
      </c>
      <c r="M79" s="9" t="str">
        <f t="shared" si="9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21" x14ac:dyDescent="0.3">
      <c r="A80" s="95">
        <v>46203</v>
      </c>
      <c r="B80" s="96">
        <v>0.91666666666666663</v>
      </c>
      <c r="C80" s="97" t="s">
        <v>158</v>
      </c>
      <c r="D80" s="51"/>
      <c r="E80" s="51" t="s">
        <v>1</v>
      </c>
      <c r="F80" s="51"/>
      <c r="G80" s="97" t="s">
        <v>159</v>
      </c>
      <c r="K80" s="8" t="str">
        <f t="shared" si="7"/>
        <v/>
      </c>
      <c r="L80" s="9" t="str">
        <f t="shared" si="8"/>
        <v/>
      </c>
      <c r="M80" s="9" t="str">
        <f t="shared" si="9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95">
        <v>46204</v>
      </c>
      <c r="B81" s="96">
        <v>0.54166666666666663</v>
      </c>
      <c r="C81" s="97" t="s">
        <v>160</v>
      </c>
      <c r="D81" s="51"/>
      <c r="E81" s="51" t="s">
        <v>1</v>
      </c>
      <c r="F81" s="51"/>
      <c r="G81" s="97" t="s">
        <v>161</v>
      </c>
      <c r="K81" s="8" t="str">
        <f t="shared" si="7"/>
        <v/>
      </c>
      <c r="L81" s="9" t="str">
        <f t="shared" si="8"/>
        <v/>
      </c>
      <c r="M81" s="9" t="str">
        <f t="shared" si="9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95">
        <v>46204</v>
      </c>
      <c r="B82" s="96">
        <v>0.70833333333333337</v>
      </c>
      <c r="C82" s="97" t="s">
        <v>152</v>
      </c>
      <c r="D82" s="51"/>
      <c r="E82" s="51" t="s">
        <v>1</v>
      </c>
      <c r="F82" s="51"/>
      <c r="G82" s="97" t="s">
        <v>153</v>
      </c>
      <c r="K82" s="8" t="str">
        <f t="shared" si="7"/>
        <v/>
      </c>
      <c r="L82" s="9" t="str">
        <f t="shared" si="8"/>
        <v/>
      </c>
      <c r="M82" s="9" t="str">
        <f t="shared" si="9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95">
        <v>46204</v>
      </c>
      <c r="B83" s="96">
        <v>0.875</v>
      </c>
      <c r="C83" s="97" t="s">
        <v>150</v>
      </c>
      <c r="D83" s="51"/>
      <c r="E83" s="51" t="s">
        <v>1</v>
      </c>
      <c r="F83" s="51"/>
      <c r="G83" s="97" t="s">
        <v>151</v>
      </c>
      <c r="K83" s="8" t="str">
        <f t="shared" si="7"/>
        <v/>
      </c>
      <c r="L83" s="9" t="str">
        <f t="shared" si="8"/>
        <v/>
      </c>
      <c r="M83" s="9" t="str">
        <f t="shared" si="9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95">
        <v>46205</v>
      </c>
      <c r="B84" s="96">
        <v>0.66666666666666663</v>
      </c>
      <c r="C84" s="97" t="s">
        <v>148</v>
      </c>
      <c r="D84" s="51"/>
      <c r="E84" s="51" t="s">
        <v>1</v>
      </c>
      <c r="F84" s="51"/>
      <c r="G84" s="97" t="s">
        <v>149</v>
      </c>
      <c r="K84" s="8" t="str">
        <f t="shared" si="7"/>
        <v/>
      </c>
      <c r="L84" s="9" t="str">
        <f t="shared" si="8"/>
        <v/>
      </c>
      <c r="M84" s="9" t="str">
        <f t="shared" si="9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95">
        <v>46205</v>
      </c>
      <c r="B85" s="96">
        <v>0.83333333333333337</v>
      </c>
      <c r="C85" s="97" t="s">
        <v>146</v>
      </c>
      <c r="D85" s="51"/>
      <c r="E85" s="51" t="s">
        <v>1</v>
      </c>
      <c r="F85" s="51"/>
      <c r="G85" s="97" t="s">
        <v>147</v>
      </c>
      <c r="K85" s="8" t="str">
        <f t="shared" si="7"/>
        <v/>
      </c>
      <c r="L85" s="9" t="str">
        <f t="shared" si="8"/>
        <v/>
      </c>
      <c r="M85" s="9" t="str">
        <f t="shared" si="9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95">
        <v>46206</v>
      </c>
      <c r="B86" s="96">
        <v>0</v>
      </c>
      <c r="C86" s="97" t="s">
        <v>166</v>
      </c>
      <c r="D86" s="51"/>
      <c r="E86" s="51" t="s">
        <v>1</v>
      </c>
      <c r="F86" s="51"/>
      <c r="G86" s="97" t="s">
        <v>167</v>
      </c>
      <c r="K86" s="8" t="str">
        <f t="shared" si="7"/>
        <v/>
      </c>
      <c r="L86" s="9" t="str">
        <f t="shared" si="8"/>
        <v/>
      </c>
      <c r="M86" s="9" t="str">
        <f t="shared" si="9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95">
        <v>46206</v>
      </c>
      <c r="B87" s="96">
        <v>0.625</v>
      </c>
      <c r="C87" s="97" t="s">
        <v>164</v>
      </c>
      <c r="D87" s="51"/>
      <c r="E87" s="51" t="s">
        <v>1</v>
      </c>
      <c r="F87" s="51"/>
      <c r="G87" s="97" t="s">
        <v>165</v>
      </c>
      <c r="K87" s="8" t="str">
        <f t="shared" si="7"/>
        <v/>
      </c>
      <c r="L87" s="9" t="str">
        <f t="shared" si="8"/>
        <v/>
      </c>
      <c r="M87" s="9" t="str">
        <f t="shared" si="9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95">
        <v>46206</v>
      </c>
      <c r="B88" s="96">
        <v>0.79166666666666663</v>
      </c>
      <c r="C88" s="97" t="s">
        <v>162</v>
      </c>
      <c r="D88" s="51"/>
      <c r="E88" s="51" t="s">
        <v>1</v>
      </c>
      <c r="F88" s="51"/>
      <c r="G88" s="97" t="s">
        <v>163</v>
      </c>
      <c r="K88" s="8" t="str">
        <f t="shared" si="7"/>
        <v/>
      </c>
      <c r="L88" s="9" t="str">
        <f t="shared" si="8"/>
        <v/>
      </c>
      <c r="M88" s="9" t="str">
        <f t="shared" si="9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95">
        <v>46206</v>
      </c>
      <c r="B89" s="96">
        <v>0.9375</v>
      </c>
      <c r="C89" s="97" t="s">
        <v>168</v>
      </c>
      <c r="D89" s="51"/>
      <c r="E89" s="51" t="s">
        <v>1</v>
      </c>
      <c r="F89" s="51"/>
      <c r="G89" s="97" t="s">
        <v>169</v>
      </c>
      <c r="K89" s="8" t="str">
        <f t="shared" si="7"/>
        <v/>
      </c>
      <c r="L89" s="9" t="str">
        <f t="shared" si="8"/>
        <v/>
      </c>
      <c r="M89" s="9" t="str">
        <f t="shared" si="9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95">
        <v>46207</v>
      </c>
      <c r="B90" s="96">
        <v>0.75</v>
      </c>
      <c r="C90" s="97" t="s">
        <v>170</v>
      </c>
      <c r="D90" s="51"/>
      <c r="E90" s="51" t="s">
        <v>1</v>
      </c>
      <c r="F90" s="51"/>
      <c r="G90" s="97" t="s">
        <v>171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95">
        <v>46207</v>
      </c>
      <c r="B91" s="96">
        <v>0.58333333333333337</v>
      </c>
      <c r="C91" s="97" t="s">
        <v>172</v>
      </c>
      <c r="D91" s="51"/>
      <c r="E91" s="51" t="s">
        <v>1</v>
      </c>
      <c r="F91" s="51"/>
      <c r="G91" s="97" t="s">
        <v>179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95">
        <v>46208</v>
      </c>
      <c r="B92" s="96">
        <v>0.70833333333333337</v>
      </c>
      <c r="C92" s="97" t="s">
        <v>175</v>
      </c>
      <c r="D92" s="51"/>
      <c r="E92" s="51" t="s">
        <v>1</v>
      </c>
      <c r="F92" s="51"/>
      <c r="G92" s="97" t="s">
        <v>182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95">
        <v>46208</v>
      </c>
      <c r="B93" s="96">
        <v>0.875</v>
      </c>
      <c r="C93" s="97" t="s">
        <v>176</v>
      </c>
      <c r="D93" s="51"/>
      <c r="E93" s="51" t="s">
        <v>1</v>
      </c>
      <c r="F93" s="51"/>
      <c r="G93" s="97" t="s">
        <v>183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95">
        <v>46209</v>
      </c>
      <c r="B94" s="96">
        <v>0.66666666666666663</v>
      </c>
      <c r="C94" s="97" t="s">
        <v>173</v>
      </c>
      <c r="D94" s="51"/>
      <c r="E94" s="51" t="s">
        <v>1</v>
      </c>
      <c r="F94" s="51"/>
      <c r="G94" s="97" t="s">
        <v>180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95">
        <v>46209</v>
      </c>
      <c r="B95" s="96">
        <v>0.875</v>
      </c>
      <c r="C95" s="97" t="s">
        <v>174</v>
      </c>
      <c r="D95" s="51"/>
      <c r="E95" s="51" t="s">
        <v>1</v>
      </c>
      <c r="F95" s="51"/>
      <c r="G95" s="97" t="s">
        <v>181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95">
        <v>46210</v>
      </c>
      <c r="B96" s="96">
        <v>0.54166666666666663</v>
      </c>
      <c r="C96" s="97" t="s">
        <v>177</v>
      </c>
      <c r="D96" s="51"/>
      <c r="E96" s="51" t="s">
        <v>1</v>
      </c>
      <c r="F96" s="51"/>
      <c r="G96" s="97" t="s">
        <v>184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95">
        <v>46210</v>
      </c>
      <c r="B97" s="96">
        <v>0.70833333333333337</v>
      </c>
      <c r="C97" s="97" t="s">
        <v>178</v>
      </c>
      <c r="D97" s="51"/>
      <c r="E97" s="51" t="s">
        <v>1</v>
      </c>
      <c r="F97" s="51"/>
      <c r="G97" s="97" t="s">
        <v>185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95">
        <v>46212</v>
      </c>
      <c r="B98" s="96">
        <v>0.70833333333333337</v>
      </c>
      <c r="C98" s="97" t="s">
        <v>186</v>
      </c>
      <c r="D98" s="51"/>
      <c r="E98" s="51" t="s">
        <v>1</v>
      </c>
      <c r="F98" s="51"/>
      <c r="G98" s="97" t="s">
        <v>187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95">
        <v>46213</v>
      </c>
      <c r="B99" s="96">
        <v>0.66666666666666663</v>
      </c>
      <c r="C99" s="97" t="s">
        <v>188</v>
      </c>
      <c r="D99" s="51"/>
      <c r="E99" s="51" t="s">
        <v>1</v>
      </c>
      <c r="F99" s="51"/>
      <c r="G99" s="97" t="s">
        <v>191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95">
        <v>46214</v>
      </c>
      <c r="B100" s="96">
        <v>0.75</v>
      </c>
      <c r="C100" s="97" t="s">
        <v>189</v>
      </c>
      <c r="D100" s="51"/>
      <c r="E100" s="51" t="s">
        <v>1</v>
      </c>
      <c r="F100" s="51"/>
      <c r="G100" s="97" t="s">
        <v>192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95">
        <v>46214</v>
      </c>
      <c r="B101" s="96">
        <v>0.91666666666666663</v>
      </c>
      <c r="C101" s="97" t="s">
        <v>190</v>
      </c>
      <c r="D101" s="51"/>
      <c r="E101" s="51" t="s">
        <v>1</v>
      </c>
      <c r="F101" s="51"/>
      <c r="G101" s="97" t="s">
        <v>193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95">
        <v>46217</v>
      </c>
      <c r="B102" s="96">
        <v>0.66666666666666663</v>
      </c>
      <c r="C102" s="97" t="s">
        <v>194</v>
      </c>
      <c r="D102" s="51"/>
      <c r="E102" s="51" t="s">
        <v>1</v>
      </c>
      <c r="F102" s="51"/>
      <c r="G102" s="97" t="s">
        <v>195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95">
        <v>46218</v>
      </c>
      <c r="B103" s="96">
        <v>0.66666666666666663</v>
      </c>
      <c r="C103" s="97" t="s">
        <v>196</v>
      </c>
      <c r="D103" s="51"/>
      <c r="E103" s="51" t="s">
        <v>1</v>
      </c>
      <c r="F103" s="51"/>
      <c r="G103" s="97" t="s">
        <v>197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95">
        <v>46221</v>
      </c>
      <c r="B104" s="96">
        <v>0.75</v>
      </c>
      <c r="C104" s="97" t="s">
        <v>198</v>
      </c>
      <c r="D104" s="51"/>
      <c r="E104" s="51" t="s">
        <v>1</v>
      </c>
      <c r="F104" s="51"/>
      <c r="G104" s="97" t="s">
        <v>199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95">
        <v>46222</v>
      </c>
      <c r="B105" s="96">
        <v>0.66666666666666663</v>
      </c>
      <c r="C105" s="97" t="s">
        <v>200</v>
      </c>
      <c r="D105" s="51"/>
      <c r="E105" s="51" t="s">
        <v>1</v>
      </c>
      <c r="F105" s="51"/>
      <c r="G105" s="97" t="s">
        <v>201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showGridLines="0" workbookViewId="0">
      <selection activeCell="C22" sqref="C22"/>
    </sheetView>
  </sheetViews>
  <sheetFormatPr defaultRowHeight="14.4" x14ac:dyDescent="0.3"/>
  <cols>
    <col min="1" max="1" width="5" bestFit="1" customWidth="1"/>
    <col min="2" max="2" width="12" bestFit="1" customWidth="1"/>
    <col min="3" max="3" width="11.5546875" bestFit="1" customWidth="1"/>
    <col min="4" max="4" width="5" bestFit="1" customWidth="1"/>
    <col min="7" max="7" width="5.5546875" bestFit="1" customWidth="1"/>
    <col min="8" max="8" width="22.88671875" customWidth="1"/>
    <col min="9" max="9" width="22" bestFit="1" customWidth="1"/>
    <col min="10" max="10" width="11" bestFit="1" customWidth="1"/>
    <col min="11" max="11" width="20" bestFit="1" customWidth="1"/>
  </cols>
  <sheetData>
    <row r="1" spans="1:11" ht="15" thickBot="1" x14ac:dyDescent="0.35"/>
    <row r="2" spans="1:11" ht="15" thickBot="1" x14ac:dyDescent="0.35">
      <c r="A2" s="1"/>
      <c r="B2" s="1" t="s">
        <v>59</v>
      </c>
      <c r="C2" s="47">
        <v>5</v>
      </c>
      <c r="D2" s="1"/>
      <c r="G2" s="37" t="s">
        <v>60</v>
      </c>
      <c r="H2" s="38" t="s">
        <v>61</v>
      </c>
      <c r="I2" s="38" t="s">
        <v>62</v>
      </c>
      <c r="J2" s="38" t="s">
        <v>63</v>
      </c>
      <c r="K2" s="39" t="s">
        <v>64</v>
      </c>
    </row>
    <row r="3" spans="1:11" ht="15" thickBot="1" x14ac:dyDescent="0.35">
      <c r="A3" s="1"/>
      <c r="B3" s="1" t="s">
        <v>65</v>
      </c>
      <c r="C3" s="47">
        <v>4</v>
      </c>
      <c r="D3" s="1"/>
      <c r="G3" s="40">
        <v>1930</v>
      </c>
      <c r="H3" s="40" t="s">
        <v>3</v>
      </c>
      <c r="I3" s="41" t="s">
        <v>3</v>
      </c>
      <c r="J3" s="42">
        <v>43135</v>
      </c>
      <c r="K3" s="40" t="s">
        <v>9</v>
      </c>
    </row>
    <row r="4" spans="1:11" ht="15" thickBot="1" x14ac:dyDescent="0.35">
      <c r="A4" s="1"/>
      <c r="B4" s="1" t="s">
        <v>66</v>
      </c>
      <c r="C4" s="47">
        <v>4</v>
      </c>
      <c r="D4" s="1"/>
      <c r="G4" s="40">
        <v>1934</v>
      </c>
      <c r="H4" s="40" t="s">
        <v>67</v>
      </c>
      <c r="I4" s="41" t="s">
        <v>67</v>
      </c>
      <c r="J4" s="40" t="s">
        <v>68</v>
      </c>
      <c r="K4" s="40" t="s">
        <v>69</v>
      </c>
    </row>
    <row r="5" spans="1:11" ht="15" thickBot="1" x14ac:dyDescent="0.35">
      <c r="A5" s="1"/>
      <c r="B5" s="1" t="s">
        <v>70</v>
      </c>
      <c r="C5" s="47">
        <v>2</v>
      </c>
      <c r="D5" s="1"/>
      <c r="G5" s="40">
        <v>1938</v>
      </c>
      <c r="H5" s="40" t="s">
        <v>7</v>
      </c>
      <c r="I5" s="41" t="s">
        <v>67</v>
      </c>
      <c r="J5" s="42">
        <v>43135</v>
      </c>
      <c r="K5" s="40" t="s">
        <v>71</v>
      </c>
    </row>
    <row r="6" spans="1:11" ht="15" thickBot="1" x14ac:dyDescent="0.35">
      <c r="A6" s="1"/>
      <c r="B6" s="1" t="s">
        <v>72</v>
      </c>
      <c r="C6" s="47">
        <v>2</v>
      </c>
      <c r="D6" s="1"/>
      <c r="G6" s="40">
        <v>1950</v>
      </c>
      <c r="H6" s="40" t="s">
        <v>11</v>
      </c>
      <c r="I6" s="41" t="s">
        <v>3</v>
      </c>
      <c r="J6" s="42">
        <v>43102</v>
      </c>
      <c r="K6" s="40" t="s">
        <v>11</v>
      </c>
    </row>
    <row r="7" spans="1:11" ht="15" thickBot="1" x14ac:dyDescent="0.35">
      <c r="B7" t="s">
        <v>73</v>
      </c>
      <c r="C7" s="36">
        <v>1</v>
      </c>
      <c r="G7" s="40">
        <v>1954</v>
      </c>
      <c r="H7" s="40" t="s">
        <v>74</v>
      </c>
      <c r="I7" s="41" t="s">
        <v>75</v>
      </c>
      <c r="J7" s="42">
        <v>43134</v>
      </c>
      <c r="K7" s="40" t="s">
        <v>71</v>
      </c>
    </row>
    <row r="8" spans="1:11" ht="15" thickBot="1" x14ac:dyDescent="0.35">
      <c r="B8" t="s">
        <v>76</v>
      </c>
      <c r="C8" s="36">
        <v>2</v>
      </c>
      <c r="G8" s="40">
        <v>1958</v>
      </c>
      <c r="H8" s="40" t="s">
        <v>14</v>
      </c>
      <c r="I8" s="41" t="s">
        <v>11</v>
      </c>
      <c r="J8" s="42">
        <v>43136</v>
      </c>
      <c r="K8" s="40" t="s">
        <v>14</v>
      </c>
    </row>
    <row r="9" spans="1:11" ht="15" thickBot="1" x14ac:dyDescent="0.35">
      <c r="A9" s="1"/>
      <c r="B9" s="1" t="s">
        <v>77</v>
      </c>
      <c r="C9" s="47">
        <v>1</v>
      </c>
      <c r="D9" s="1"/>
      <c r="G9" s="40">
        <v>1962</v>
      </c>
      <c r="H9" s="40" t="s">
        <v>78</v>
      </c>
      <c r="I9" s="41" t="s">
        <v>11</v>
      </c>
      <c r="J9" s="42">
        <v>43103</v>
      </c>
      <c r="K9" s="40" t="s">
        <v>69</v>
      </c>
    </row>
    <row r="10" spans="1:11" ht="15" thickBot="1" x14ac:dyDescent="0.35">
      <c r="C10" s="36"/>
      <c r="G10" s="40">
        <v>1966</v>
      </c>
      <c r="H10" s="40" t="s">
        <v>18</v>
      </c>
      <c r="I10" s="41" t="s">
        <v>18</v>
      </c>
      <c r="J10" s="40" t="s">
        <v>79</v>
      </c>
      <c r="K10" s="40" t="s">
        <v>75</v>
      </c>
    </row>
    <row r="11" spans="1:11" ht="15" thickBot="1" x14ac:dyDescent="0.35">
      <c r="A11">
        <v>1982</v>
      </c>
      <c r="B11" t="s">
        <v>66</v>
      </c>
      <c r="G11" s="40">
        <v>1970</v>
      </c>
      <c r="H11" s="40" t="s">
        <v>13</v>
      </c>
      <c r="I11" s="41" t="s">
        <v>11</v>
      </c>
      <c r="J11" s="42">
        <v>43104</v>
      </c>
      <c r="K11" s="40" t="s">
        <v>67</v>
      </c>
    </row>
    <row r="12" spans="1:11" ht="15" thickBot="1" x14ac:dyDescent="0.35">
      <c r="A12" s="43">
        <v>1978</v>
      </c>
      <c r="B12" s="43" t="s">
        <v>72</v>
      </c>
      <c r="C12" s="43" t="s">
        <v>72</v>
      </c>
      <c r="D12" s="43">
        <v>1986</v>
      </c>
      <c r="G12" s="40">
        <v>1974</v>
      </c>
      <c r="H12" s="40" t="s">
        <v>75</v>
      </c>
      <c r="I12" s="41" t="s">
        <v>75</v>
      </c>
      <c r="J12" s="42">
        <v>43102</v>
      </c>
      <c r="K12" s="40" t="s">
        <v>80</v>
      </c>
    </row>
    <row r="13" spans="1:11" ht="15" thickBot="1" x14ac:dyDescent="0.35">
      <c r="A13" s="43">
        <v>1974</v>
      </c>
      <c r="B13" s="43" t="s">
        <v>65</v>
      </c>
      <c r="C13" s="43" t="s">
        <v>65</v>
      </c>
      <c r="D13" s="43">
        <v>1990</v>
      </c>
      <c r="G13" s="40">
        <v>1978</v>
      </c>
      <c r="H13" s="40" t="s">
        <v>9</v>
      </c>
      <c r="I13" s="41" t="s">
        <v>9</v>
      </c>
      <c r="J13" s="40" t="s">
        <v>81</v>
      </c>
      <c r="K13" s="40" t="s">
        <v>80</v>
      </c>
    </row>
    <row r="14" spans="1:11" ht="15" thickBot="1" x14ac:dyDescent="0.35">
      <c r="A14" s="43">
        <v>1970</v>
      </c>
      <c r="B14" s="43" t="s">
        <v>59</v>
      </c>
      <c r="C14" s="43" t="s">
        <v>59</v>
      </c>
      <c r="D14" s="43">
        <v>1994</v>
      </c>
      <c r="G14" s="40">
        <v>1982</v>
      </c>
      <c r="H14" s="40" t="s">
        <v>6</v>
      </c>
      <c r="I14" s="41" t="s">
        <v>67</v>
      </c>
      <c r="J14" s="42">
        <v>43103</v>
      </c>
      <c r="K14" s="40" t="s">
        <v>75</v>
      </c>
    </row>
    <row r="15" spans="1:11" ht="15" thickBot="1" x14ac:dyDescent="0.35">
      <c r="A15">
        <v>1966</v>
      </c>
      <c r="B15" t="s">
        <v>73</v>
      </c>
      <c r="C15" t="s">
        <v>76</v>
      </c>
      <c r="D15">
        <v>1998</v>
      </c>
      <c r="G15" s="40">
        <v>1986</v>
      </c>
      <c r="H15" s="40" t="s">
        <v>13</v>
      </c>
      <c r="I15" s="41" t="s">
        <v>9</v>
      </c>
      <c r="J15" s="42">
        <v>43134</v>
      </c>
      <c r="K15" s="40" t="s">
        <v>75</v>
      </c>
    </row>
    <row r="16" spans="1:11" ht="15" thickBot="1" x14ac:dyDescent="0.35">
      <c r="A16" s="43">
        <v>1962</v>
      </c>
      <c r="B16" s="43" t="s">
        <v>59</v>
      </c>
      <c r="C16" s="43" t="s">
        <v>59</v>
      </c>
      <c r="D16" s="43">
        <v>2002</v>
      </c>
      <c r="G16" s="40">
        <v>1990</v>
      </c>
      <c r="H16" s="40" t="s">
        <v>67</v>
      </c>
      <c r="I16" s="41" t="s">
        <v>82</v>
      </c>
      <c r="J16" s="40" t="s">
        <v>83</v>
      </c>
      <c r="K16" s="40" t="s">
        <v>9</v>
      </c>
    </row>
    <row r="17" spans="1:11" ht="15" thickBot="1" x14ac:dyDescent="0.35">
      <c r="A17">
        <v>1958</v>
      </c>
      <c r="B17" t="s">
        <v>59</v>
      </c>
      <c r="C17" t="s">
        <v>66</v>
      </c>
      <c r="D17">
        <v>2006</v>
      </c>
      <c r="G17" s="40">
        <v>1994</v>
      </c>
      <c r="H17" s="40" t="s">
        <v>84</v>
      </c>
      <c r="I17" s="41" t="s">
        <v>11</v>
      </c>
      <c r="J17" s="40" t="s">
        <v>85</v>
      </c>
      <c r="K17" s="40" t="s">
        <v>67</v>
      </c>
    </row>
    <row r="18" spans="1:11" ht="15" thickBot="1" x14ac:dyDescent="0.35">
      <c r="A18">
        <v>1954</v>
      </c>
      <c r="B18" t="s">
        <v>65</v>
      </c>
      <c r="C18" t="s">
        <v>77</v>
      </c>
      <c r="D18">
        <v>2010</v>
      </c>
      <c r="G18" s="40">
        <v>1998</v>
      </c>
      <c r="H18" s="40" t="s">
        <v>7</v>
      </c>
      <c r="I18" s="41" t="s">
        <v>7</v>
      </c>
      <c r="J18" s="40" t="s">
        <v>86</v>
      </c>
      <c r="K18" s="40" t="s">
        <v>11</v>
      </c>
    </row>
    <row r="19" spans="1:11" ht="15" thickBot="1" x14ac:dyDescent="0.35">
      <c r="A19">
        <v>1950</v>
      </c>
      <c r="B19" t="s">
        <v>70</v>
      </c>
      <c r="C19" t="s">
        <v>65</v>
      </c>
      <c r="D19">
        <v>2014</v>
      </c>
      <c r="G19" s="40">
        <v>2002</v>
      </c>
      <c r="H19" s="40" t="s">
        <v>87</v>
      </c>
      <c r="I19" s="41" t="s">
        <v>11</v>
      </c>
      <c r="J19" s="40" t="s">
        <v>88</v>
      </c>
      <c r="K19" s="40" t="s">
        <v>12</v>
      </c>
    </row>
    <row r="20" spans="1:11" ht="15" thickBot="1" x14ac:dyDescent="0.35">
      <c r="A20">
        <v>1938</v>
      </c>
      <c r="B20" t="s">
        <v>66</v>
      </c>
      <c r="C20" t="s">
        <v>76</v>
      </c>
      <c r="D20">
        <v>2018</v>
      </c>
      <c r="G20" s="40">
        <v>2006</v>
      </c>
      <c r="H20" s="40" t="s">
        <v>12</v>
      </c>
      <c r="I20" s="41" t="s">
        <v>67</v>
      </c>
      <c r="J20" s="40" t="s">
        <v>89</v>
      </c>
      <c r="K20" s="40" t="s">
        <v>7</v>
      </c>
    </row>
    <row r="21" spans="1:11" ht="15" thickBot="1" x14ac:dyDescent="0.35">
      <c r="A21">
        <v>1934</v>
      </c>
      <c r="B21" t="s">
        <v>66</v>
      </c>
      <c r="C21" t="s">
        <v>72</v>
      </c>
      <c r="D21">
        <v>2022</v>
      </c>
      <c r="G21" s="40">
        <v>2010</v>
      </c>
      <c r="H21" s="40" t="s">
        <v>90</v>
      </c>
      <c r="I21" s="41" t="s">
        <v>6</v>
      </c>
      <c r="J21" s="40" t="s">
        <v>91</v>
      </c>
      <c r="K21" s="40" t="s">
        <v>80</v>
      </c>
    </row>
    <row r="22" spans="1:11" ht="15" thickBot="1" x14ac:dyDescent="0.35">
      <c r="A22">
        <v>1930</v>
      </c>
      <c r="B22" t="s">
        <v>70</v>
      </c>
      <c r="D22">
        <v>2026</v>
      </c>
      <c r="G22" s="40">
        <v>2014</v>
      </c>
      <c r="H22" s="40" t="s">
        <v>11</v>
      </c>
      <c r="I22" s="41" t="s">
        <v>12</v>
      </c>
      <c r="J22" s="40" t="s">
        <v>91</v>
      </c>
      <c r="K22" s="40" t="s">
        <v>9</v>
      </c>
    </row>
    <row r="23" spans="1:11" ht="15" thickBot="1" x14ac:dyDescent="0.35">
      <c r="G23" s="40">
        <v>2018</v>
      </c>
      <c r="H23" s="40" t="s">
        <v>0</v>
      </c>
      <c r="I23" s="41" t="s">
        <v>7</v>
      </c>
      <c r="J23" s="42">
        <v>44596</v>
      </c>
      <c r="K23" s="40" t="s">
        <v>10</v>
      </c>
    </row>
    <row r="24" spans="1:11" ht="15" thickBot="1" x14ac:dyDescent="0.35">
      <c r="G24" s="40">
        <v>2022</v>
      </c>
      <c r="H24" s="40" t="s">
        <v>99</v>
      </c>
      <c r="I24" s="41" t="s">
        <v>9</v>
      </c>
      <c r="J24" s="42" t="s">
        <v>203</v>
      </c>
      <c r="K24" s="40" t="s">
        <v>7</v>
      </c>
    </row>
    <row r="25" spans="1:11" ht="15" thickBot="1" x14ac:dyDescent="0.35">
      <c r="G25" s="40">
        <v>2026</v>
      </c>
      <c r="H25" s="40" t="s">
        <v>202</v>
      </c>
      <c r="I25" s="41"/>
      <c r="J25" s="42">
        <v>46222</v>
      </c>
      <c r="K25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OFICIAL</vt:lpstr>
      <vt:lpstr>BERNARDO</vt:lpstr>
      <vt:lpstr>FERNANDO</vt:lpstr>
      <vt:lpstr>GABRIEL</vt:lpstr>
      <vt:lpstr>GUSTAVO</vt:lpstr>
      <vt:lpstr>MARCIO</vt:lpstr>
      <vt:lpstr>MARQUES</vt:lpstr>
      <vt:lpstr>RENAN</vt:lpstr>
      <vt:lpstr>RICARDO</vt:lpstr>
      <vt:lpstr>THIAGO</vt:lpstr>
      <vt:lpstr>SOARES</vt:lpstr>
      <vt:lpstr>TODAS AS COPAS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PHINOTE12</dc:creator>
  <cp:lastModifiedBy>Marcio Losso</cp:lastModifiedBy>
  <dcterms:created xsi:type="dcterms:W3CDTF">2018-06-12T14:10:46Z</dcterms:created>
  <dcterms:modified xsi:type="dcterms:W3CDTF">2026-06-23T18:22:53Z</dcterms:modified>
</cp:coreProperties>
</file>