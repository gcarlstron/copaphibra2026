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CIO\"/>
    </mc:Choice>
  </mc:AlternateContent>
  <xr:revisionPtr revIDLastSave="0" documentId="13_ncr:1_{5C73FBD4-26EB-4937-818E-E6D4EEE8BE49}" xr6:coauthVersionLast="47" xr6:coauthVersionMax="47" xr10:uidLastSave="{00000000-0000-0000-0000-000000000000}"/>
  <bookViews>
    <workbookView xWindow="-38520" yWindow="-120" windowWidth="38640" windowHeight="15720" tabRatio="709" xr2:uid="{00000000-000D-0000-FFFF-FFFF00000000}"/>
  </bookViews>
  <sheets>
    <sheet name="OFICIAL" sheetId="1" r:id="rId1"/>
    <sheet name="BERNARDO" sheetId="2" r:id="rId2"/>
    <sheet name="FERNANDO" sheetId="5" r:id="rId3"/>
    <sheet name="GABRIEL" sheetId="6" r:id="rId4"/>
    <sheet name="GUSTAVO" sheetId="14" r:id="rId5"/>
    <sheet name="MARCIO" sheetId="8" r:id="rId6"/>
    <sheet name="MARQUES" sheetId="12" r:id="rId7"/>
    <sheet name="RENAN" sheetId="10" r:id="rId8"/>
    <sheet name="RICARDO" sheetId="15" r:id="rId9"/>
    <sheet name="THIAGO" sheetId="11" r:id="rId10"/>
    <sheet name="SOARES" sheetId="13" r:id="rId11"/>
    <sheet name="TODAS AS COPA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9" i="6" l="1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74" i="6"/>
  <c r="Z89" i="15"/>
  <c r="Z88" i="15"/>
  <c r="Z87" i="15"/>
  <c r="Z86" i="15"/>
  <c r="Z85" i="15"/>
  <c r="Z84" i="15"/>
  <c r="Z83" i="15"/>
  <c r="Z82" i="15"/>
  <c r="Z81" i="15"/>
  <c r="Z80" i="15"/>
  <c r="Z79" i="15"/>
  <c r="Z78" i="15"/>
  <c r="Z77" i="15"/>
  <c r="Z76" i="15"/>
  <c r="Z75" i="15"/>
  <c r="Z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74" i="15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74" i="12"/>
  <c r="AB89" i="10"/>
  <c r="AB88" i="10"/>
  <c r="AB87" i="10"/>
  <c r="AB86" i="10"/>
  <c r="AB85" i="10"/>
  <c r="AB84" i="10"/>
  <c r="AB83" i="10"/>
  <c r="AB82" i="10"/>
  <c r="AB81" i="10"/>
  <c r="AB80" i="10"/>
  <c r="AB79" i="10"/>
  <c r="AB78" i="10"/>
  <c r="AB77" i="10"/>
  <c r="AB76" i="10"/>
  <c r="AB75" i="10"/>
  <c r="AB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74" i="10"/>
  <c r="AB89" i="5"/>
  <c r="AB88" i="5"/>
  <c r="AB87" i="5"/>
  <c r="AB86" i="5"/>
  <c r="AB85" i="5"/>
  <c r="AB84" i="5"/>
  <c r="AB83" i="5"/>
  <c r="AB82" i="5"/>
  <c r="AB81" i="5"/>
  <c r="AB80" i="5"/>
  <c r="AB79" i="5"/>
  <c r="AB78" i="5"/>
  <c r="AB77" i="5"/>
  <c r="AB76" i="5"/>
  <c r="AB75" i="5"/>
  <c r="AB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74" i="5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74" i="2"/>
  <c r="Z77" i="14"/>
  <c r="Z74" i="14"/>
  <c r="Z89" i="14"/>
  <c r="Z88" i="14"/>
  <c r="Z87" i="14"/>
  <c r="Z86" i="14"/>
  <c r="Z85" i="14"/>
  <c r="Z84" i="14"/>
  <c r="Z83" i="14"/>
  <c r="Z82" i="14"/>
  <c r="Z81" i="14"/>
  <c r="Z80" i="14"/>
  <c r="Z79" i="14"/>
  <c r="Z78" i="14"/>
  <c r="Z76" i="14"/>
  <c r="Z75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74" i="14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74" i="11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74" i="13"/>
  <c r="Q25" i="1"/>
  <c r="Q26" i="1"/>
  <c r="Q27" i="1"/>
  <c r="Q28" i="1"/>
  <c r="Q29" i="1"/>
  <c r="Q30" i="1"/>
  <c r="Q31" i="1"/>
  <c r="Q32" i="1"/>
  <c r="Q24" i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P17" i="1" s="1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P20" i="1" s="1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L18" i="1" s="1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74" i="11"/>
  <c r="O75" i="11"/>
  <c r="O76" i="11"/>
  <c r="O77" i="11"/>
  <c r="O78" i="11"/>
  <c r="O79" i="11"/>
  <c r="O80" i="11"/>
  <c r="O81" i="11"/>
  <c r="O82" i="11"/>
  <c r="N12" i="1" s="1"/>
  <c r="O83" i="11"/>
  <c r="O84" i="11"/>
  <c r="L12" i="1" s="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M17" i="1" l="1"/>
  <c r="M18" i="1"/>
  <c r="O18" i="1"/>
  <c r="N18" i="1"/>
  <c r="M19" i="1"/>
  <c r="P19" i="1"/>
  <c r="O17" i="1"/>
  <c r="P12" i="1"/>
  <c r="O16" i="1"/>
  <c r="P16" i="1"/>
  <c r="P14" i="1"/>
  <c r="N13" i="1"/>
  <c r="P18" i="1"/>
  <c r="O15" i="1"/>
  <c r="P11" i="1"/>
  <c r="M15" i="1"/>
  <c r="N19" i="1"/>
  <c r="L15" i="1"/>
  <c r="M12" i="1"/>
  <c r="P13" i="1"/>
  <c r="N15" i="1"/>
  <c r="L17" i="1"/>
  <c r="O19" i="1"/>
  <c r="O13" i="1"/>
  <c r="L14" i="1"/>
  <c r="L11" i="1"/>
  <c r="O12" i="1"/>
  <c r="M14" i="1"/>
  <c r="P15" i="1"/>
  <c r="N17" i="1"/>
  <c r="L20" i="1"/>
  <c r="M11" i="1"/>
  <c r="N14" i="1"/>
  <c r="L16" i="1"/>
  <c r="M20" i="1"/>
  <c r="N11" i="1"/>
  <c r="L13" i="1"/>
  <c r="O14" i="1"/>
  <c r="M16" i="1"/>
  <c r="N20" i="1"/>
  <c r="O11" i="1"/>
  <c r="M13" i="1"/>
  <c r="N16" i="1"/>
  <c r="L19" i="1"/>
  <c r="O20" i="1"/>
  <c r="K67" i="2"/>
  <c r="L67" i="2"/>
  <c r="M67" i="2"/>
  <c r="K68" i="2"/>
  <c r="L68" i="2"/>
  <c r="M68" i="2"/>
  <c r="K69" i="2"/>
  <c r="L69" i="2"/>
  <c r="M69" i="2"/>
  <c r="K70" i="2"/>
  <c r="L70" i="2"/>
  <c r="M70" i="2"/>
  <c r="K71" i="2"/>
  <c r="L71" i="2"/>
  <c r="M71" i="2"/>
  <c r="K72" i="2"/>
  <c r="L72" i="2"/>
  <c r="M72" i="2"/>
  <c r="K73" i="2"/>
  <c r="L73" i="2"/>
  <c r="M73" i="2"/>
  <c r="K74" i="2"/>
  <c r="L74" i="2"/>
  <c r="M74" i="2"/>
  <c r="K75" i="2"/>
  <c r="L75" i="2"/>
  <c r="M75" i="2"/>
  <c r="K76" i="2"/>
  <c r="L76" i="2"/>
  <c r="M76" i="2"/>
  <c r="K77" i="2"/>
  <c r="L77" i="2"/>
  <c r="M77" i="2"/>
  <c r="K78" i="2"/>
  <c r="L78" i="2"/>
  <c r="M78" i="2"/>
  <c r="K79" i="2"/>
  <c r="L79" i="2"/>
  <c r="M79" i="2"/>
  <c r="K80" i="2"/>
  <c r="L80" i="2"/>
  <c r="M80" i="2"/>
  <c r="K81" i="2"/>
  <c r="L81" i="2"/>
  <c r="M81" i="2"/>
  <c r="K82" i="2"/>
  <c r="L82" i="2"/>
  <c r="M82" i="2"/>
  <c r="K83" i="2"/>
  <c r="L83" i="2"/>
  <c r="M83" i="2"/>
  <c r="K84" i="2"/>
  <c r="L84" i="2"/>
  <c r="M84" i="2"/>
  <c r="K85" i="2"/>
  <c r="L85" i="2"/>
  <c r="M85" i="2"/>
  <c r="K86" i="2"/>
  <c r="L86" i="2"/>
  <c r="M86" i="2"/>
  <c r="K87" i="2"/>
  <c r="L87" i="2"/>
  <c r="M87" i="2"/>
  <c r="K88" i="2"/>
  <c r="L88" i="2"/>
  <c r="M88" i="2"/>
  <c r="K89" i="2"/>
  <c r="L89" i="2"/>
  <c r="M89" i="2"/>
  <c r="K90" i="2"/>
  <c r="L90" i="2"/>
  <c r="M90" i="2"/>
  <c r="K91" i="2"/>
  <c r="L91" i="2"/>
  <c r="M91" i="2"/>
  <c r="K92" i="2"/>
  <c r="L92" i="2"/>
  <c r="M92" i="2"/>
  <c r="K93" i="2"/>
  <c r="L93" i="2"/>
  <c r="M93" i="2"/>
  <c r="K94" i="2"/>
  <c r="L94" i="2"/>
  <c r="M94" i="2"/>
  <c r="K95" i="2"/>
  <c r="L95" i="2"/>
  <c r="M95" i="2"/>
  <c r="K96" i="2"/>
  <c r="L96" i="2"/>
  <c r="M96" i="2"/>
  <c r="K97" i="2"/>
  <c r="L97" i="2"/>
  <c r="M97" i="2"/>
  <c r="K98" i="2"/>
  <c r="L98" i="2"/>
  <c r="M98" i="2"/>
  <c r="K99" i="2"/>
  <c r="L99" i="2"/>
  <c r="M99" i="2"/>
  <c r="K100" i="2"/>
  <c r="L100" i="2"/>
  <c r="M100" i="2"/>
  <c r="K101" i="2"/>
  <c r="L101" i="2"/>
  <c r="M101" i="2"/>
  <c r="K102" i="2"/>
  <c r="L102" i="2"/>
  <c r="M102" i="2"/>
  <c r="K103" i="2"/>
  <c r="L103" i="2"/>
  <c r="M103" i="2"/>
  <c r="K104" i="2"/>
  <c r="L104" i="2"/>
  <c r="M104" i="2"/>
  <c r="K105" i="2"/>
  <c r="L105" i="2"/>
  <c r="M105" i="2"/>
  <c r="K70" i="5"/>
  <c r="L70" i="5"/>
  <c r="M70" i="5"/>
  <c r="K71" i="5"/>
  <c r="L71" i="5"/>
  <c r="M71" i="5"/>
  <c r="K72" i="5"/>
  <c r="L72" i="5"/>
  <c r="M72" i="5"/>
  <c r="K73" i="5"/>
  <c r="L73" i="5"/>
  <c r="M73" i="5"/>
  <c r="K74" i="5"/>
  <c r="L74" i="5"/>
  <c r="M74" i="5"/>
  <c r="K75" i="5"/>
  <c r="L75" i="5"/>
  <c r="M75" i="5"/>
  <c r="K76" i="5"/>
  <c r="L76" i="5"/>
  <c r="M76" i="5"/>
  <c r="K77" i="5"/>
  <c r="L77" i="5"/>
  <c r="M77" i="5"/>
  <c r="K78" i="5"/>
  <c r="L78" i="5"/>
  <c r="M78" i="5"/>
  <c r="K79" i="5"/>
  <c r="L79" i="5"/>
  <c r="M79" i="5"/>
  <c r="K80" i="5"/>
  <c r="L80" i="5"/>
  <c r="M80" i="5"/>
  <c r="K81" i="5"/>
  <c r="L81" i="5"/>
  <c r="M81" i="5"/>
  <c r="K82" i="5"/>
  <c r="L82" i="5"/>
  <c r="M82" i="5"/>
  <c r="K83" i="5"/>
  <c r="L83" i="5"/>
  <c r="M83" i="5"/>
  <c r="K84" i="5"/>
  <c r="L84" i="5"/>
  <c r="M84" i="5"/>
  <c r="K85" i="5"/>
  <c r="L85" i="5"/>
  <c r="M85" i="5"/>
  <c r="K86" i="5"/>
  <c r="L86" i="5"/>
  <c r="M86" i="5"/>
  <c r="K87" i="5"/>
  <c r="L87" i="5"/>
  <c r="M87" i="5"/>
  <c r="K88" i="5"/>
  <c r="L88" i="5"/>
  <c r="M88" i="5"/>
  <c r="K89" i="5"/>
  <c r="L89" i="5"/>
  <c r="M89" i="5"/>
  <c r="K90" i="5"/>
  <c r="L90" i="5"/>
  <c r="M90" i="5"/>
  <c r="K91" i="5"/>
  <c r="L91" i="5"/>
  <c r="M91" i="5"/>
  <c r="K92" i="5"/>
  <c r="L92" i="5"/>
  <c r="M92" i="5"/>
  <c r="K93" i="5"/>
  <c r="L93" i="5"/>
  <c r="M93" i="5"/>
  <c r="K94" i="5"/>
  <c r="L94" i="5"/>
  <c r="M94" i="5"/>
  <c r="K95" i="5"/>
  <c r="L95" i="5"/>
  <c r="M95" i="5"/>
  <c r="K96" i="5"/>
  <c r="L96" i="5"/>
  <c r="M96" i="5"/>
  <c r="K97" i="5"/>
  <c r="L97" i="5"/>
  <c r="M97" i="5"/>
  <c r="K98" i="5"/>
  <c r="L98" i="5"/>
  <c r="M98" i="5"/>
  <c r="K99" i="5"/>
  <c r="L99" i="5"/>
  <c r="M99" i="5"/>
  <c r="K100" i="5"/>
  <c r="L100" i="5"/>
  <c r="M100" i="5"/>
  <c r="K101" i="5"/>
  <c r="L101" i="5"/>
  <c r="M101" i="5"/>
  <c r="K102" i="5"/>
  <c r="L102" i="5"/>
  <c r="M102" i="5"/>
  <c r="K103" i="5"/>
  <c r="L103" i="5"/>
  <c r="M103" i="5"/>
  <c r="K104" i="5"/>
  <c r="L104" i="5"/>
  <c r="M104" i="5"/>
  <c r="K105" i="5"/>
  <c r="L105" i="5"/>
  <c r="M105" i="5"/>
  <c r="K69" i="6"/>
  <c r="L69" i="6"/>
  <c r="M69" i="6"/>
  <c r="K70" i="6"/>
  <c r="L70" i="6"/>
  <c r="M70" i="6"/>
  <c r="K71" i="6"/>
  <c r="L71" i="6"/>
  <c r="M71" i="6"/>
  <c r="K72" i="6"/>
  <c r="L72" i="6"/>
  <c r="M72" i="6"/>
  <c r="K73" i="6"/>
  <c r="L73" i="6"/>
  <c r="M73" i="6"/>
  <c r="K74" i="6"/>
  <c r="L74" i="6"/>
  <c r="M74" i="6"/>
  <c r="K75" i="6"/>
  <c r="L75" i="6"/>
  <c r="M75" i="6"/>
  <c r="K76" i="6"/>
  <c r="L76" i="6"/>
  <c r="M76" i="6"/>
  <c r="K77" i="6"/>
  <c r="L77" i="6"/>
  <c r="M77" i="6"/>
  <c r="K78" i="6"/>
  <c r="L78" i="6"/>
  <c r="M78" i="6"/>
  <c r="K79" i="6"/>
  <c r="L79" i="6"/>
  <c r="M79" i="6"/>
  <c r="K80" i="6"/>
  <c r="L80" i="6"/>
  <c r="M80" i="6"/>
  <c r="K81" i="6"/>
  <c r="L81" i="6"/>
  <c r="M81" i="6"/>
  <c r="K82" i="6"/>
  <c r="L82" i="6"/>
  <c r="M82" i="6"/>
  <c r="K83" i="6"/>
  <c r="L83" i="6"/>
  <c r="M83" i="6"/>
  <c r="K84" i="6"/>
  <c r="L84" i="6"/>
  <c r="M84" i="6"/>
  <c r="K85" i="6"/>
  <c r="L85" i="6"/>
  <c r="M85" i="6"/>
  <c r="K86" i="6"/>
  <c r="L86" i="6"/>
  <c r="M86" i="6"/>
  <c r="K87" i="6"/>
  <c r="L87" i="6"/>
  <c r="M87" i="6"/>
  <c r="K88" i="6"/>
  <c r="L88" i="6"/>
  <c r="M88" i="6"/>
  <c r="K89" i="6"/>
  <c r="L89" i="6"/>
  <c r="M89" i="6"/>
  <c r="K90" i="6"/>
  <c r="L90" i="6"/>
  <c r="M90" i="6"/>
  <c r="K91" i="6"/>
  <c r="L91" i="6"/>
  <c r="M91" i="6"/>
  <c r="K92" i="6"/>
  <c r="L92" i="6"/>
  <c r="M92" i="6"/>
  <c r="K93" i="6"/>
  <c r="L93" i="6"/>
  <c r="M93" i="6"/>
  <c r="K94" i="6"/>
  <c r="L94" i="6"/>
  <c r="M94" i="6"/>
  <c r="K95" i="6"/>
  <c r="L95" i="6"/>
  <c r="M95" i="6"/>
  <c r="K96" i="6"/>
  <c r="L96" i="6"/>
  <c r="M96" i="6"/>
  <c r="K97" i="6"/>
  <c r="L97" i="6"/>
  <c r="M97" i="6"/>
  <c r="K98" i="6"/>
  <c r="L98" i="6"/>
  <c r="M98" i="6"/>
  <c r="K99" i="6"/>
  <c r="L99" i="6"/>
  <c r="M99" i="6"/>
  <c r="K100" i="6"/>
  <c r="L100" i="6"/>
  <c r="M100" i="6"/>
  <c r="K101" i="6"/>
  <c r="L101" i="6"/>
  <c r="M101" i="6"/>
  <c r="K102" i="6"/>
  <c r="L102" i="6"/>
  <c r="M102" i="6"/>
  <c r="K103" i="6"/>
  <c r="L103" i="6"/>
  <c r="M103" i="6"/>
  <c r="K104" i="6"/>
  <c r="L104" i="6"/>
  <c r="M104" i="6"/>
  <c r="K105" i="6"/>
  <c r="L105" i="6"/>
  <c r="M105" i="6"/>
  <c r="K68" i="14"/>
  <c r="L68" i="14"/>
  <c r="M68" i="14"/>
  <c r="K69" i="14"/>
  <c r="L69" i="14"/>
  <c r="M69" i="14"/>
  <c r="K70" i="14"/>
  <c r="L70" i="14"/>
  <c r="M70" i="14"/>
  <c r="K71" i="14"/>
  <c r="L71" i="14"/>
  <c r="M71" i="14"/>
  <c r="K72" i="14"/>
  <c r="L72" i="14"/>
  <c r="M72" i="14"/>
  <c r="K73" i="14"/>
  <c r="L73" i="14"/>
  <c r="M73" i="14"/>
  <c r="K74" i="14"/>
  <c r="L74" i="14"/>
  <c r="M74" i="14"/>
  <c r="K75" i="14"/>
  <c r="L75" i="14"/>
  <c r="M75" i="14"/>
  <c r="K76" i="14"/>
  <c r="L76" i="14"/>
  <c r="M76" i="14"/>
  <c r="K77" i="14"/>
  <c r="L77" i="14"/>
  <c r="M77" i="14"/>
  <c r="K78" i="14"/>
  <c r="L78" i="14"/>
  <c r="M78" i="14"/>
  <c r="K79" i="14"/>
  <c r="L79" i="14"/>
  <c r="M79" i="14"/>
  <c r="K80" i="14"/>
  <c r="L80" i="14"/>
  <c r="M80" i="14"/>
  <c r="K81" i="14"/>
  <c r="L81" i="14"/>
  <c r="M81" i="14"/>
  <c r="K82" i="14"/>
  <c r="L82" i="14"/>
  <c r="M82" i="14"/>
  <c r="K83" i="14"/>
  <c r="L83" i="14"/>
  <c r="M83" i="14"/>
  <c r="K84" i="14"/>
  <c r="L84" i="14"/>
  <c r="M84" i="14"/>
  <c r="K85" i="14"/>
  <c r="L85" i="14"/>
  <c r="M85" i="14"/>
  <c r="K86" i="14"/>
  <c r="L86" i="14"/>
  <c r="M86" i="14"/>
  <c r="K87" i="14"/>
  <c r="L87" i="14"/>
  <c r="M87" i="14"/>
  <c r="K88" i="14"/>
  <c r="L88" i="14"/>
  <c r="M88" i="14"/>
  <c r="K89" i="14"/>
  <c r="L89" i="14"/>
  <c r="M89" i="14"/>
  <c r="K90" i="14"/>
  <c r="L90" i="14"/>
  <c r="M90" i="14"/>
  <c r="K91" i="14"/>
  <c r="L91" i="14"/>
  <c r="M91" i="14"/>
  <c r="K92" i="14"/>
  <c r="L92" i="14"/>
  <c r="M92" i="14"/>
  <c r="K93" i="14"/>
  <c r="L93" i="14"/>
  <c r="M93" i="14"/>
  <c r="K94" i="14"/>
  <c r="L94" i="14"/>
  <c r="M94" i="14"/>
  <c r="K95" i="14"/>
  <c r="L95" i="14"/>
  <c r="M95" i="14"/>
  <c r="K96" i="14"/>
  <c r="L96" i="14"/>
  <c r="M96" i="14"/>
  <c r="K97" i="14"/>
  <c r="L97" i="14"/>
  <c r="M97" i="14"/>
  <c r="K98" i="14"/>
  <c r="L98" i="14"/>
  <c r="M98" i="14"/>
  <c r="K99" i="14"/>
  <c r="L99" i="14"/>
  <c r="M99" i="14"/>
  <c r="K100" i="14"/>
  <c r="L100" i="14"/>
  <c r="M100" i="14"/>
  <c r="K101" i="14"/>
  <c r="L101" i="14"/>
  <c r="M101" i="14"/>
  <c r="K102" i="14"/>
  <c r="L102" i="14"/>
  <c r="M102" i="14"/>
  <c r="K103" i="14"/>
  <c r="L103" i="14"/>
  <c r="M103" i="14"/>
  <c r="K104" i="14"/>
  <c r="L104" i="14"/>
  <c r="M104" i="14"/>
  <c r="K105" i="14"/>
  <c r="L105" i="14"/>
  <c r="M105" i="14"/>
  <c r="K71" i="8"/>
  <c r="L71" i="8"/>
  <c r="M71" i="8"/>
  <c r="K72" i="8"/>
  <c r="L72" i="8"/>
  <c r="M72" i="8"/>
  <c r="K73" i="8"/>
  <c r="L73" i="8"/>
  <c r="M73" i="8"/>
  <c r="K74" i="8"/>
  <c r="L74" i="8"/>
  <c r="M74" i="8"/>
  <c r="K75" i="8"/>
  <c r="L75" i="8"/>
  <c r="M75" i="8"/>
  <c r="K76" i="8"/>
  <c r="L76" i="8"/>
  <c r="M76" i="8"/>
  <c r="K77" i="8"/>
  <c r="L77" i="8"/>
  <c r="M77" i="8"/>
  <c r="K78" i="8"/>
  <c r="L78" i="8"/>
  <c r="M78" i="8"/>
  <c r="K79" i="8"/>
  <c r="L79" i="8"/>
  <c r="M79" i="8"/>
  <c r="K80" i="8"/>
  <c r="L80" i="8"/>
  <c r="M80" i="8"/>
  <c r="K81" i="8"/>
  <c r="L81" i="8"/>
  <c r="M81" i="8"/>
  <c r="K82" i="8"/>
  <c r="L82" i="8"/>
  <c r="M82" i="8"/>
  <c r="K83" i="8"/>
  <c r="L83" i="8"/>
  <c r="M83" i="8"/>
  <c r="K84" i="8"/>
  <c r="L84" i="8"/>
  <c r="M84" i="8"/>
  <c r="K85" i="8"/>
  <c r="L85" i="8"/>
  <c r="M85" i="8"/>
  <c r="K86" i="8"/>
  <c r="L86" i="8"/>
  <c r="M86" i="8"/>
  <c r="K87" i="8"/>
  <c r="L87" i="8"/>
  <c r="M87" i="8"/>
  <c r="K88" i="8"/>
  <c r="L88" i="8"/>
  <c r="M88" i="8"/>
  <c r="K89" i="8"/>
  <c r="L89" i="8"/>
  <c r="M89" i="8"/>
  <c r="K90" i="8"/>
  <c r="L90" i="8"/>
  <c r="M90" i="8"/>
  <c r="K91" i="8"/>
  <c r="L91" i="8"/>
  <c r="M91" i="8"/>
  <c r="K92" i="8"/>
  <c r="L92" i="8"/>
  <c r="M92" i="8"/>
  <c r="K93" i="8"/>
  <c r="L93" i="8"/>
  <c r="M93" i="8"/>
  <c r="K94" i="8"/>
  <c r="L94" i="8"/>
  <c r="M94" i="8"/>
  <c r="K95" i="8"/>
  <c r="L95" i="8"/>
  <c r="M95" i="8"/>
  <c r="K96" i="8"/>
  <c r="L96" i="8"/>
  <c r="M96" i="8"/>
  <c r="K97" i="8"/>
  <c r="L97" i="8"/>
  <c r="M97" i="8"/>
  <c r="K98" i="8"/>
  <c r="L98" i="8"/>
  <c r="M98" i="8"/>
  <c r="K99" i="8"/>
  <c r="L99" i="8"/>
  <c r="M99" i="8"/>
  <c r="K100" i="8"/>
  <c r="L100" i="8"/>
  <c r="M100" i="8"/>
  <c r="K101" i="8"/>
  <c r="L101" i="8"/>
  <c r="M101" i="8"/>
  <c r="K102" i="8"/>
  <c r="L102" i="8"/>
  <c r="M102" i="8"/>
  <c r="K103" i="8"/>
  <c r="L103" i="8"/>
  <c r="M103" i="8"/>
  <c r="K104" i="8"/>
  <c r="L104" i="8"/>
  <c r="M104" i="8"/>
  <c r="K105" i="8"/>
  <c r="L105" i="8"/>
  <c r="M105" i="8"/>
  <c r="K71" i="12"/>
  <c r="L71" i="12"/>
  <c r="M71" i="12"/>
  <c r="K72" i="12"/>
  <c r="L72" i="12"/>
  <c r="M72" i="12"/>
  <c r="K73" i="12"/>
  <c r="L73" i="12"/>
  <c r="M73" i="12"/>
  <c r="K74" i="12"/>
  <c r="L74" i="12"/>
  <c r="M74" i="12"/>
  <c r="K75" i="12"/>
  <c r="L75" i="12"/>
  <c r="M75" i="12"/>
  <c r="K76" i="12"/>
  <c r="L76" i="12"/>
  <c r="M76" i="12"/>
  <c r="K77" i="12"/>
  <c r="L77" i="12"/>
  <c r="M77" i="12"/>
  <c r="K78" i="12"/>
  <c r="L78" i="12"/>
  <c r="M78" i="12"/>
  <c r="K79" i="12"/>
  <c r="L79" i="12"/>
  <c r="M79" i="12"/>
  <c r="K80" i="12"/>
  <c r="L80" i="12"/>
  <c r="M80" i="12"/>
  <c r="K81" i="12"/>
  <c r="L81" i="12"/>
  <c r="M81" i="12"/>
  <c r="K82" i="12"/>
  <c r="L82" i="12"/>
  <c r="M82" i="12"/>
  <c r="K83" i="12"/>
  <c r="L83" i="12"/>
  <c r="M83" i="12"/>
  <c r="K84" i="12"/>
  <c r="L84" i="12"/>
  <c r="M84" i="12"/>
  <c r="K85" i="12"/>
  <c r="L85" i="12"/>
  <c r="M85" i="12"/>
  <c r="K86" i="12"/>
  <c r="L86" i="12"/>
  <c r="M86" i="12"/>
  <c r="K87" i="12"/>
  <c r="L87" i="12"/>
  <c r="M87" i="12"/>
  <c r="K88" i="12"/>
  <c r="L88" i="12"/>
  <c r="M88" i="12"/>
  <c r="K89" i="12"/>
  <c r="L89" i="12"/>
  <c r="M89" i="12"/>
  <c r="K90" i="12"/>
  <c r="L90" i="12"/>
  <c r="M90" i="12"/>
  <c r="K91" i="12"/>
  <c r="L91" i="12"/>
  <c r="M91" i="12"/>
  <c r="K92" i="12"/>
  <c r="L92" i="12"/>
  <c r="M92" i="12"/>
  <c r="K93" i="12"/>
  <c r="L93" i="12"/>
  <c r="M93" i="12"/>
  <c r="K94" i="12"/>
  <c r="L94" i="12"/>
  <c r="M94" i="12"/>
  <c r="K95" i="12"/>
  <c r="L95" i="12"/>
  <c r="M95" i="12"/>
  <c r="K96" i="12"/>
  <c r="L96" i="12"/>
  <c r="M96" i="12"/>
  <c r="K97" i="12"/>
  <c r="L97" i="12"/>
  <c r="M97" i="12"/>
  <c r="K98" i="12"/>
  <c r="L98" i="12"/>
  <c r="M98" i="12"/>
  <c r="K99" i="12"/>
  <c r="L99" i="12"/>
  <c r="M99" i="12"/>
  <c r="K100" i="12"/>
  <c r="L100" i="12"/>
  <c r="M100" i="12"/>
  <c r="K101" i="12"/>
  <c r="L101" i="12"/>
  <c r="M101" i="12"/>
  <c r="K102" i="12"/>
  <c r="L102" i="12"/>
  <c r="M102" i="12"/>
  <c r="K103" i="12"/>
  <c r="L103" i="12"/>
  <c r="M103" i="12"/>
  <c r="K104" i="12"/>
  <c r="L104" i="12"/>
  <c r="M104" i="12"/>
  <c r="K105" i="12"/>
  <c r="L105" i="12"/>
  <c r="M105" i="12"/>
  <c r="K68" i="10"/>
  <c r="L68" i="10"/>
  <c r="M68" i="10"/>
  <c r="K69" i="10"/>
  <c r="L69" i="10"/>
  <c r="M69" i="10"/>
  <c r="K70" i="10"/>
  <c r="L70" i="10"/>
  <c r="M70" i="10"/>
  <c r="K71" i="10"/>
  <c r="L71" i="10"/>
  <c r="M71" i="10"/>
  <c r="K72" i="10"/>
  <c r="L72" i="10"/>
  <c r="M72" i="10"/>
  <c r="K73" i="10"/>
  <c r="L73" i="10"/>
  <c r="M73" i="10"/>
  <c r="K74" i="10"/>
  <c r="L74" i="10"/>
  <c r="M74" i="10"/>
  <c r="K75" i="10"/>
  <c r="L75" i="10"/>
  <c r="M75" i="10"/>
  <c r="K76" i="10"/>
  <c r="L76" i="10"/>
  <c r="M76" i="10"/>
  <c r="K77" i="10"/>
  <c r="L77" i="10"/>
  <c r="M77" i="10"/>
  <c r="K78" i="10"/>
  <c r="L78" i="10"/>
  <c r="M78" i="10"/>
  <c r="K79" i="10"/>
  <c r="L79" i="10"/>
  <c r="M79" i="10"/>
  <c r="K80" i="10"/>
  <c r="L80" i="10"/>
  <c r="M80" i="10"/>
  <c r="K81" i="10"/>
  <c r="L81" i="10"/>
  <c r="M81" i="10"/>
  <c r="K82" i="10"/>
  <c r="L82" i="10"/>
  <c r="M82" i="10"/>
  <c r="K83" i="10"/>
  <c r="L83" i="10"/>
  <c r="M83" i="10"/>
  <c r="K84" i="10"/>
  <c r="L84" i="10"/>
  <c r="M84" i="10"/>
  <c r="K85" i="10"/>
  <c r="L85" i="10"/>
  <c r="M85" i="10"/>
  <c r="K86" i="10"/>
  <c r="L86" i="10"/>
  <c r="M86" i="10"/>
  <c r="K87" i="10"/>
  <c r="L87" i="10"/>
  <c r="M87" i="10"/>
  <c r="K88" i="10"/>
  <c r="L88" i="10"/>
  <c r="M88" i="10"/>
  <c r="K89" i="10"/>
  <c r="L89" i="10"/>
  <c r="M89" i="10"/>
  <c r="K90" i="10"/>
  <c r="L90" i="10"/>
  <c r="M90" i="10"/>
  <c r="K91" i="10"/>
  <c r="L91" i="10"/>
  <c r="M91" i="10"/>
  <c r="K92" i="10"/>
  <c r="L92" i="10"/>
  <c r="M92" i="10"/>
  <c r="K93" i="10"/>
  <c r="L93" i="10"/>
  <c r="M93" i="10"/>
  <c r="K94" i="10"/>
  <c r="L94" i="10"/>
  <c r="M94" i="10"/>
  <c r="K95" i="10"/>
  <c r="L95" i="10"/>
  <c r="M95" i="10"/>
  <c r="K96" i="10"/>
  <c r="L96" i="10"/>
  <c r="M96" i="10"/>
  <c r="K97" i="10"/>
  <c r="L97" i="10"/>
  <c r="M97" i="10"/>
  <c r="K98" i="10"/>
  <c r="L98" i="10"/>
  <c r="M98" i="10"/>
  <c r="K99" i="10"/>
  <c r="L99" i="10"/>
  <c r="M99" i="10"/>
  <c r="K100" i="10"/>
  <c r="L100" i="10"/>
  <c r="M100" i="10"/>
  <c r="K101" i="10"/>
  <c r="L101" i="10"/>
  <c r="M101" i="10"/>
  <c r="K102" i="10"/>
  <c r="L102" i="10"/>
  <c r="M102" i="10"/>
  <c r="K103" i="10"/>
  <c r="L103" i="10"/>
  <c r="M103" i="10"/>
  <c r="K104" i="10"/>
  <c r="L104" i="10"/>
  <c r="M104" i="10"/>
  <c r="K105" i="10"/>
  <c r="L105" i="10"/>
  <c r="M105" i="10"/>
  <c r="K73" i="15"/>
  <c r="L73" i="15"/>
  <c r="M73" i="15"/>
  <c r="K74" i="15"/>
  <c r="L74" i="15"/>
  <c r="M74" i="15"/>
  <c r="K75" i="15"/>
  <c r="L75" i="15"/>
  <c r="M75" i="15"/>
  <c r="K76" i="15"/>
  <c r="L76" i="15"/>
  <c r="M76" i="15"/>
  <c r="K77" i="15"/>
  <c r="L77" i="15"/>
  <c r="M77" i="15"/>
  <c r="K78" i="15"/>
  <c r="L78" i="15"/>
  <c r="M78" i="15"/>
  <c r="K79" i="15"/>
  <c r="L79" i="15"/>
  <c r="M79" i="15"/>
  <c r="K80" i="15"/>
  <c r="L80" i="15"/>
  <c r="M80" i="15"/>
  <c r="K81" i="15"/>
  <c r="L81" i="15"/>
  <c r="M81" i="15"/>
  <c r="K82" i="15"/>
  <c r="L82" i="15"/>
  <c r="M82" i="15"/>
  <c r="K83" i="15"/>
  <c r="L83" i="15"/>
  <c r="M83" i="15"/>
  <c r="K84" i="15"/>
  <c r="L84" i="15"/>
  <c r="M84" i="15"/>
  <c r="K85" i="15"/>
  <c r="L85" i="15"/>
  <c r="M85" i="15"/>
  <c r="K86" i="15"/>
  <c r="L86" i="15"/>
  <c r="M86" i="15"/>
  <c r="K87" i="15"/>
  <c r="L87" i="15"/>
  <c r="M87" i="15"/>
  <c r="K88" i="15"/>
  <c r="L88" i="15"/>
  <c r="M88" i="15"/>
  <c r="K89" i="15"/>
  <c r="L89" i="15"/>
  <c r="M89" i="15"/>
  <c r="K90" i="15"/>
  <c r="L90" i="15"/>
  <c r="M90" i="15"/>
  <c r="K91" i="15"/>
  <c r="L91" i="15"/>
  <c r="M91" i="15"/>
  <c r="K92" i="15"/>
  <c r="L92" i="15"/>
  <c r="M92" i="15"/>
  <c r="K93" i="15"/>
  <c r="L93" i="15"/>
  <c r="M93" i="15"/>
  <c r="K94" i="15"/>
  <c r="L94" i="15"/>
  <c r="M94" i="15"/>
  <c r="K95" i="15"/>
  <c r="L95" i="15"/>
  <c r="M95" i="15"/>
  <c r="K96" i="15"/>
  <c r="L96" i="15"/>
  <c r="M96" i="15"/>
  <c r="K97" i="15"/>
  <c r="L97" i="15"/>
  <c r="M97" i="15"/>
  <c r="K98" i="15"/>
  <c r="L98" i="15"/>
  <c r="M98" i="15"/>
  <c r="K99" i="15"/>
  <c r="L99" i="15"/>
  <c r="M99" i="15"/>
  <c r="K100" i="15"/>
  <c r="L100" i="15"/>
  <c r="M100" i="15"/>
  <c r="K101" i="15"/>
  <c r="L101" i="15"/>
  <c r="M101" i="15"/>
  <c r="K102" i="15"/>
  <c r="L102" i="15"/>
  <c r="M102" i="15"/>
  <c r="K103" i="15"/>
  <c r="L103" i="15"/>
  <c r="M103" i="15"/>
  <c r="K104" i="15"/>
  <c r="L104" i="15"/>
  <c r="M104" i="15"/>
  <c r="K105" i="15"/>
  <c r="L105" i="15"/>
  <c r="M105" i="15"/>
  <c r="K74" i="11"/>
  <c r="L74" i="11"/>
  <c r="M74" i="11"/>
  <c r="K75" i="11"/>
  <c r="L75" i="11"/>
  <c r="M75" i="11"/>
  <c r="K76" i="11"/>
  <c r="L76" i="11"/>
  <c r="M76" i="11"/>
  <c r="K77" i="11"/>
  <c r="L77" i="11"/>
  <c r="M77" i="11"/>
  <c r="K78" i="11"/>
  <c r="L78" i="11"/>
  <c r="M78" i="11"/>
  <c r="K79" i="11"/>
  <c r="L79" i="11"/>
  <c r="M79" i="11"/>
  <c r="K80" i="11"/>
  <c r="L80" i="11"/>
  <c r="M80" i="11"/>
  <c r="K81" i="11"/>
  <c r="L81" i="11"/>
  <c r="M81" i="11"/>
  <c r="K82" i="11"/>
  <c r="L82" i="11"/>
  <c r="M82" i="11"/>
  <c r="K83" i="11"/>
  <c r="L83" i="11"/>
  <c r="M83" i="11"/>
  <c r="K84" i="11"/>
  <c r="L84" i="11"/>
  <c r="M84" i="11"/>
  <c r="K85" i="11"/>
  <c r="L85" i="11"/>
  <c r="M85" i="11"/>
  <c r="K86" i="11"/>
  <c r="L86" i="11"/>
  <c r="M86" i="11"/>
  <c r="K87" i="11"/>
  <c r="L87" i="11"/>
  <c r="M87" i="11"/>
  <c r="K88" i="11"/>
  <c r="L88" i="11"/>
  <c r="M88" i="11"/>
  <c r="K89" i="11"/>
  <c r="L89" i="11"/>
  <c r="M89" i="11"/>
  <c r="K90" i="11"/>
  <c r="L90" i="11"/>
  <c r="M90" i="11"/>
  <c r="K91" i="11"/>
  <c r="L91" i="11"/>
  <c r="M91" i="11"/>
  <c r="K92" i="11"/>
  <c r="L92" i="11"/>
  <c r="M92" i="11"/>
  <c r="K93" i="11"/>
  <c r="L93" i="11"/>
  <c r="M93" i="11"/>
  <c r="K94" i="11"/>
  <c r="L94" i="11"/>
  <c r="M94" i="11"/>
  <c r="K95" i="11"/>
  <c r="L95" i="11"/>
  <c r="M95" i="11"/>
  <c r="K96" i="11"/>
  <c r="L96" i="11"/>
  <c r="M96" i="11"/>
  <c r="K97" i="11"/>
  <c r="L97" i="11"/>
  <c r="M97" i="11"/>
  <c r="K98" i="11"/>
  <c r="L98" i="11"/>
  <c r="M98" i="11"/>
  <c r="K99" i="11"/>
  <c r="L99" i="11"/>
  <c r="M99" i="11"/>
  <c r="K100" i="11"/>
  <c r="L100" i="11"/>
  <c r="M100" i="11"/>
  <c r="K101" i="11"/>
  <c r="L101" i="11"/>
  <c r="M101" i="11"/>
  <c r="K102" i="11"/>
  <c r="L102" i="11"/>
  <c r="M102" i="11"/>
  <c r="K103" i="11"/>
  <c r="L103" i="11"/>
  <c r="M103" i="11"/>
  <c r="K104" i="11"/>
  <c r="L104" i="11"/>
  <c r="M104" i="11"/>
  <c r="K105" i="11"/>
  <c r="L105" i="11"/>
  <c r="M105" i="11"/>
  <c r="K74" i="13"/>
  <c r="L74" i="13"/>
  <c r="M74" i="13"/>
  <c r="K75" i="13"/>
  <c r="L75" i="13"/>
  <c r="M75" i="13"/>
  <c r="K76" i="13"/>
  <c r="L76" i="13"/>
  <c r="M76" i="13"/>
  <c r="K77" i="13"/>
  <c r="L77" i="13"/>
  <c r="M77" i="13"/>
  <c r="K78" i="13"/>
  <c r="L78" i="13"/>
  <c r="M78" i="13"/>
  <c r="K79" i="13"/>
  <c r="L79" i="13"/>
  <c r="M79" i="13"/>
  <c r="K80" i="13"/>
  <c r="L80" i="13"/>
  <c r="M80" i="13"/>
  <c r="K81" i="13"/>
  <c r="L81" i="13"/>
  <c r="M81" i="13"/>
  <c r="K82" i="13"/>
  <c r="L82" i="13"/>
  <c r="M82" i="13"/>
  <c r="K83" i="13"/>
  <c r="L83" i="13"/>
  <c r="M83" i="13"/>
  <c r="K84" i="13"/>
  <c r="L84" i="13"/>
  <c r="M84" i="13"/>
  <c r="K85" i="13"/>
  <c r="L85" i="13"/>
  <c r="M85" i="13"/>
  <c r="K86" i="13"/>
  <c r="L86" i="13"/>
  <c r="M86" i="13"/>
  <c r="K87" i="13"/>
  <c r="L87" i="13"/>
  <c r="M87" i="13"/>
  <c r="K88" i="13"/>
  <c r="L88" i="13"/>
  <c r="M88" i="13"/>
  <c r="K89" i="13"/>
  <c r="L89" i="13"/>
  <c r="M89" i="13"/>
  <c r="K90" i="13"/>
  <c r="L90" i="13"/>
  <c r="M90" i="13"/>
  <c r="K91" i="13"/>
  <c r="L91" i="13"/>
  <c r="M91" i="13"/>
  <c r="K92" i="13"/>
  <c r="L92" i="13"/>
  <c r="M92" i="13"/>
  <c r="K93" i="13"/>
  <c r="L93" i="13"/>
  <c r="M93" i="13"/>
  <c r="K94" i="13"/>
  <c r="L94" i="13"/>
  <c r="M94" i="13"/>
  <c r="K95" i="13"/>
  <c r="L95" i="13"/>
  <c r="M95" i="13"/>
  <c r="K96" i="13"/>
  <c r="L96" i="13"/>
  <c r="M96" i="13"/>
  <c r="K97" i="13"/>
  <c r="L97" i="13"/>
  <c r="M97" i="13"/>
  <c r="K98" i="13"/>
  <c r="L98" i="13"/>
  <c r="M98" i="13"/>
  <c r="K99" i="13"/>
  <c r="L99" i="13"/>
  <c r="M99" i="13"/>
  <c r="K100" i="13"/>
  <c r="L100" i="13"/>
  <c r="M100" i="13"/>
  <c r="K101" i="13"/>
  <c r="L101" i="13"/>
  <c r="M101" i="13"/>
  <c r="K102" i="13"/>
  <c r="L102" i="13"/>
  <c r="M102" i="13"/>
  <c r="K103" i="13"/>
  <c r="L103" i="13"/>
  <c r="M103" i="13"/>
  <c r="K104" i="13"/>
  <c r="L104" i="13"/>
  <c r="M104" i="13"/>
  <c r="K105" i="13"/>
  <c r="L105" i="13"/>
  <c r="M105" i="13"/>
  <c r="R91" i="1"/>
  <c r="S91" i="1"/>
  <c r="T91" i="1"/>
  <c r="R92" i="1"/>
  <c r="S92" i="1"/>
  <c r="T92" i="1"/>
  <c r="R93" i="1"/>
  <c r="S93" i="1"/>
  <c r="T93" i="1"/>
  <c r="R94" i="1"/>
  <c r="S94" i="1"/>
  <c r="T94" i="1"/>
  <c r="R95" i="1"/>
  <c r="S95" i="1"/>
  <c r="T95" i="1"/>
  <c r="R96" i="1"/>
  <c r="S96" i="1"/>
  <c r="T96" i="1"/>
  <c r="R97" i="1"/>
  <c r="S97" i="1"/>
  <c r="T97" i="1"/>
  <c r="R98" i="1"/>
  <c r="S98" i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R103" i="1"/>
  <c r="S103" i="1"/>
  <c r="T103" i="1"/>
  <c r="R104" i="1"/>
  <c r="S104" i="1"/>
  <c r="T104" i="1"/>
  <c r="R105" i="1"/>
  <c r="S105" i="1"/>
  <c r="T105" i="1"/>
  <c r="R87" i="1"/>
  <c r="S87" i="1"/>
  <c r="T87" i="1"/>
  <c r="R88" i="1"/>
  <c r="S88" i="1"/>
  <c r="T88" i="1"/>
  <c r="R89" i="1"/>
  <c r="S89" i="1"/>
  <c r="T89" i="1"/>
  <c r="R90" i="1"/>
  <c r="S90" i="1"/>
  <c r="T90" i="1"/>
  <c r="R71" i="1"/>
  <c r="S71" i="1"/>
  <c r="T71" i="1"/>
  <c r="R72" i="1"/>
  <c r="S72" i="1"/>
  <c r="T72" i="1"/>
  <c r="R73" i="1"/>
  <c r="S73" i="1"/>
  <c r="T73" i="1"/>
  <c r="R74" i="1"/>
  <c r="S74" i="1"/>
  <c r="T74" i="1"/>
  <c r="R75" i="1"/>
  <c r="S75" i="1"/>
  <c r="T75" i="1"/>
  <c r="R76" i="1"/>
  <c r="S76" i="1"/>
  <c r="T76" i="1"/>
  <c r="R77" i="1"/>
  <c r="S77" i="1"/>
  <c r="T77" i="1"/>
  <c r="R78" i="1"/>
  <c r="S78" i="1"/>
  <c r="T78" i="1"/>
  <c r="R79" i="1"/>
  <c r="S79" i="1"/>
  <c r="T79" i="1"/>
  <c r="R80" i="1"/>
  <c r="S80" i="1"/>
  <c r="T80" i="1"/>
  <c r="R81" i="1"/>
  <c r="S81" i="1"/>
  <c r="T81" i="1"/>
  <c r="R82" i="1"/>
  <c r="S82" i="1"/>
  <c r="T82" i="1"/>
  <c r="R83" i="1"/>
  <c r="S83" i="1"/>
  <c r="T83" i="1"/>
  <c r="R84" i="1"/>
  <c r="S84" i="1"/>
  <c r="T84" i="1"/>
  <c r="R85" i="1"/>
  <c r="S85" i="1"/>
  <c r="T85" i="1"/>
  <c r="R86" i="1"/>
  <c r="S86" i="1"/>
  <c r="T86" i="1"/>
  <c r="K4" i="5"/>
  <c r="L4" i="5"/>
  <c r="M4" i="5"/>
  <c r="K5" i="5"/>
  <c r="L5" i="5"/>
  <c r="M5" i="5"/>
  <c r="K6" i="5"/>
  <c r="L6" i="5"/>
  <c r="M6" i="5"/>
  <c r="K7" i="5"/>
  <c r="L7" i="5"/>
  <c r="M7" i="5"/>
  <c r="K8" i="5"/>
  <c r="L8" i="5"/>
  <c r="M8" i="5"/>
  <c r="K9" i="5"/>
  <c r="L9" i="5"/>
  <c r="M9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23" i="5"/>
  <c r="L23" i="5"/>
  <c r="M23" i="5"/>
  <c r="K24" i="5"/>
  <c r="L24" i="5"/>
  <c r="M24" i="5"/>
  <c r="K25" i="5"/>
  <c r="L25" i="5"/>
  <c r="M25" i="5"/>
  <c r="K26" i="5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K33" i="5"/>
  <c r="L33" i="5"/>
  <c r="M33" i="5"/>
  <c r="K34" i="5"/>
  <c r="L34" i="5"/>
  <c r="M34" i="5"/>
  <c r="K35" i="5"/>
  <c r="L35" i="5"/>
  <c r="M35" i="5"/>
  <c r="K36" i="5"/>
  <c r="L36" i="5"/>
  <c r="M36" i="5"/>
  <c r="K37" i="5"/>
  <c r="L37" i="5"/>
  <c r="M37" i="5"/>
  <c r="K38" i="5"/>
  <c r="L38" i="5"/>
  <c r="M38" i="5"/>
  <c r="K39" i="5"/>
  <c r="L39" i="5"/>
  <c r="M39" i="5"/>
  <c r="K40" i="5"/>
  <c r="L40" i="5"/>
  <c r="M40" i="5"/>
  <c r="K41" i="5"/>
  <c r="L41" i="5"/>
  <c r="M41" i="5"/>
  <c r="K42" i="5"/>
  <c r="L42" i="5"/>
  <c r="M42" i="5"/>
  <c r="K43" i="5"/>
  <c r="L43" i="5"/>
  <c r="M43" i="5"/>
  <c r="K44" i="5"/>
  <c r="L44" i="5"/>
  <c r="M44" i="5"/>
  <c r="K45" i="5"/>
  <c r="L45" i="5"/>
  <c r="M45" i="5"/>
  <c r="K46" i="5"/>
  <c r="L46" i="5"/>
  <c r="M46" i="5"/>
  <c r="K47" i="5"/>
  <c r="L47" i="5"/>
  <c r="M47" i="5"/>
  <c r="K48" i="5"/>
  <c r="L48" i="5"/>
  <c r="M48" i="5"/>
  <c r="K49" i="5"/>
  <c r="L49" i="5"/>
  <c r="M49" i="5"/>
  <c r="K50" i="5"/>
  <c r="L50" i="5"/>
  <c r="M50" i="5"/>
  <c r="K51" i="5"/>
  <c r="L51" i="5"/>
  <c r="M51" i="5"/>
  <c r="K52" i="5"/>
  <c r="L52" i="5"/>
  <c r="M52" i="5"/>
  <c r="K53" i="5"/>
  <c r="L53" i="5"/>
  <c r="M53" i="5"/>
  <c r="K54" i="5"/>
  <c r="L54" i="5"/>
  <c r="M54" i="5"/>
  <c r="K55" i="5"/>
  <c r="L55" i="5"/>
  <c r="M55" i="5"/>
  <c r="K56" i="5"/>
  <c r="L56" i="5"/>
  <c r="M56" i="5"/>
  <c r="K57" i="5"/>
  <c r="L57" i="5"/>
  <c r="M57" i="5"/>
  <c r="K58" i="5"/>
  <c r="L58" i="5"/>
  <c r="M58" i="5"/>
  <c r="K59" i="5"/>
  <c r="L59" i="5"/>
  <c r="M59" i="5"/>
  <c r="K60" i="5"/>
  <c r="L60" i="5"/>
  <c r="M60" i="5"/>
  <c r="K61" i="5"/>
  <c r="L61" i="5"/>
  <c r="M61" i="5"/>
  <c r="K62" i="5"/>
  <c r="L62" i="5"/>
  <c r="M62" i="5"/>
  <c r="K63" i="5"/>
  <c r="L63" i="5"/>
  <c r="M63" i="5"/>
  <c r="K64" i="5"/>
  <c r="L64" i="5"/>
  <c r="M64" i="5"/>
  <c r="K65" i="5"/>
  <c r="L65" i="5"/>
  <c r="M65" i="5"/>
  <c r="K66" i="5"/>
  <c r="L66" i="5"/>
  <c r="M66" i="5"/>
  <c r="K67" i="5"/>
  <c r="L67" i="5"/>
  <c r="M67" i="5"/>
  <c r="K68" i="5"/>
  <c r="L68" i="5"/>
  <c r="M68" i="5"/>
  <c r="K69" i="5"/>
  <c r="L69" i="5"/>
  <c r="M69" i="5"/>
  <c r="K4" i="6"/>
  <c r="L4" i="6"/>
  <c r="M4" i="6"/>
  <c r="K5" i="6"/>
  <c r="L5" i="6"/>
  <c r="M5" i="6"/>
  <c r="K6" i="6"/>
  <c r="L6" i="6"/>
  <c r="M6" i="6"/>
  <c r="K7" i="6"/>
  <c r="L7" i="6"/>
  <c r="M7" i="6"/>
  <c r="K8" i="6"/>
  <c r="L8" i="6"/>
  <c r="M8" i="6"/>
  <c r="K9" i="6"/>
  <c r="L9" i="6"/>
  <c r="M9" i="6"/>
  <c r="K10" i="6"/>
  <c r="L10" i="6"/>
  <c r="M10" i="6"/>
  <c r="K11" i="6"/>
  <c r="L11" i="6"/>
  <c r="M11" i="6"/>
  <c r="K12" i="6"/>
  <c r="L12" i="6"/>
  <c r="M12" i="6"/>
  <c r="K13" i="6"/>
  <c r="L13" i="6"/>
  <c r="M13" i="6"/>
  <c r="K14" i="6"/>
  <c r="L14" i="6"/>
  <c r="M14" i="6"/>
  <c r="K15" i="6"/>
  <c r="L15" i="6"/>
  <c r="M15" i="6"/>
  <c r="K16" i="6"/>
  <c r="L16" i="6"/>
  <c r="M16" i="6"/>
  <c r="K17" i="6"/>
  <c r="L17" i="6"/>
  <c r="M17" i="6"/>
  <c r="K18" i="6"/>
  <c r="L18" i="6"/>
  <c r="M18" i="6"/>
  <c r="K19" i="6"/>
  <c r="L19" i="6"/>
  <c r="M19" i="6"/>
  <c r="K20" i="6"/>
  <c r="L20" i="6"/>
  <c r="M20" i="6"/>
  <c r="K21" i="6"/>
  <c r="L21" i="6"/>
  <c r="M21" i="6"/>
  <c r="K22" i="6"/>
  <c r="L22" i="6"/>
  <c r="M22" i="6"/>
  <c r="K23" i="6"/>
  <c r="L23" i="6"/>
  <c r="M23" i="6"/>
  <c r="K24" i="6"/>
  <c r="L24" i="6"/>
  <c r="M24" i="6"/>
  <c r="K25" i="6"/>
  <c r="L25" i="6"/>
  <c r="M25" i="6"/>
  <c r="K26" i="6"/>
  <c r="L26" i="6"/>
  <c r="M26" i="6"/>
  <c r="K27" i="6"/>
  <c r="L27" i="6"/>
  <c r="M27" i="6"/>
  <c r="K28" i="6"/>
  <c r="L28" i="6"/>
  <c r="M28" i="6"/>
  <c r="K29" i="6"/>
  <c r="L29" i="6"/>
  <c r="M29" i="6"/>
  <c r="K30" i="6"/>
  <c r="L30" i="6"/>
  <c r="M30" i="6"/>
  <c r="K31" i="6"/>
  <c r="L31" i="6"/>
  <c r="M31" i="6"/>
  <c r="K32" i="6"/>
  <c r="L32" i="6"/>
  <c r="M32" i="6"/>
  <c r="K33" i="6"/>
  <c r="L33" i="6"/>
  <c r="M33" i="6"/>
  <c r="K34" i="6"/>
  <c r="L34" i="6"/>
  <c r="M34" i="6"/>
  <c r="K35" i="6"/>
  <c r="L35" i="6"/>
  <c r="M35" i="6"/>
  <c r="K36" i="6"/>
  <c r="L36" i="6"/>
  <c r="M36" i="6"/>
  <c r="K37" i="6"/>
  <c r="L37" i="6"/>
  <c r="M37" i="6"/>
  <c r="K38" i="6"/>
  <c r="L38" i="6"/>
  <c r="M38" i="6"/>
  <c r="K39" i="6"/>
  <c r="L39" i="6"/>
  <c r="M39" i="6"/>
  <c r="K40" i="6"/>
  <c r="L40" i="6"/>
  <c r="M40" i="6"/>
  <c r="K41" i="6"/>
  <c r="L41" i="6"/>
  <c r="M41" i="6"/>
  <c r="K42" i="6"/>
  <c r="L42" i="6"/>
  <c r="M42" i="6"/>
  <c r="K43" i="6"/>
  <c r="L43" i="6"/>
  <c r="M43" i="6"/>
  <c r="K44" i="6"/>
  <c r="L44" i="6"/>
  <c r="M44" i="6"/>
  <c r="K45" i="6"/>
  <c r="L45" i="6"/>
  <c r="M45" i="6"/>
  <c r="K46" i="6"/>
  <c r="L46" i="6"/>
  <c r="M46" i="6"/>
  <c r="K47" i="6"/>
  <c r="L47" i="6"/>
  <c r="M47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K54" i="6"/>
  <c r="L54" i="6"/>
  <c r="M54" i="6"/>
  <c r="K55" i="6"/>
  <c r="L55" i="6"/>
  <c r="M55" i="6"/>
  <c r="K56" i="6"/>
  <c r="L56" i="6"/>
  <c r="M56" i="6"/>
  <c r="K57" i="6"/>
  <c r="L57" i="6"/>
  <c r="M57" i="6"/>
  <c r="K58" i="6"/>
  <c r="L58" i="6"/>
  <c r="M58" i="6"/>
  <c r="K59" i="6"/>
  <c r="L59" i="6"/>
  <c r="M59" i="6"/>
  <c r="K60" i="6"/>
  <c r="L60" i="6"/>
  <c r="M60" i="6"/>
  <c r="K61" i="6"/>
  <c r="L61" i="6"/>
  <c r="M61" i="6"/>
  <c r="K62" i="6"/>
  <c r="L62" i="6"/>
  <c r="M62" i="6"/>
  <c r="K63" i="6"/>
  <c r="L63" i="6"/>
  <c r="M63" i="6"/>
  <c r="K64" i="6"/>
  <c r="L64" i="6"/>
  <c r="M64" i="6"/>
  <c r="K65" i="6"/>
  <c r="L65" i="6"/>
  <c r="M65" i="6"/>
  <c r="K66" i="6"/>
  <c r="L66" i="6"/>
  <c r="M66" i="6"/>
  <c r="K67" i="6"/>
  <c r="L67" i="6"/>
  <c r="M67" i="6"/>
  <c r="K68" i="6"/>
  <c r="L68" i="6"/>
  <c r="M68" i="6"/>
  <c r="K4" i="14"/>
  <c r="L4" i="14"/>
  <c r="M4" i="14"/>
  <c r="K5" i="14"/>
  <c r="L5" i="14"/>
  <c r="M5" i="14"/>
  <c r="K6" i="14"/>
  <c r="L6" i="14"/>
  <c r="M6" i="14"/>
  <c r="K7" i="14"/>
  <c r="L7" i="14"/>
  <c r="M7" i="14"/>
  <c r="K8" i="14"/>
  <c r="L8" i="14"/>
  <c r="M8" i="14"/>
  <c r="K9" i="14"/>
  <c r="L9" i="14"/>
  <c r="M9" i="14"/>
  <c r="K10" i="14"/>
  <c r="L10" i="14"/>
  <c r="M10" i="14"/>
  <c r="K11" i="14"/>
  <c r="L11" i="14"/>
  <c r="M11" i="14"/>
  <c r="K12" i="14"/>
  <c r="L12" i="14"/>
  <c r="M12" i="14"/>
  <c r="K13" i="14"/>
  <c r="L13" i="14"/>
  <c r="M13" i="14"/>
  <c r="K14" i="14"/>
  <c r="L14" i="14"/>
  <c r="M14" i="14"/>
  <c r="K15" i="14"/>
  <c r="L15" i="14"/>
  <c r="M15" i="14"/>
  <c r="K16" i="14"/>
  <c r="L16" i="14"/>
  <c r="M16" i="14"/>
  <c r="K17" i="14"/>
  <c r="L17" i="14"/>
  <c r="M17" i="14"/>
  <c r="K18" i="14"/>
  <c r="L18" i="14"/>
  <c r="M18" i="14"/>
  <c r="K19" i="14"/>
  <c r="L19" i="14"/>
  <c r="M19" i="14"/>
  <c r="K20" i="14"/>
  <c r="L20" i="14"/>
  <c r="M20" i="14"/>
  <c r="K21" i="14"/>
  <c r="L21" i="14"/>
  <c r="M21" i="14"/>
  <c r="K22" i="14"/>
  <c r="L22" i="14"/>
  <c r="M22" i="14"/>
  <c r="K23" i="14"/>
  <c r="L23" i="14"/>
  <c r="M23" i="14"/>
  <c r="K24" i="14"/>
  <c r="L24" i="14"/>
  <c r="M24" i="14"/>
  <c r="K25" i="14"/>
  <c r="L25" i="14"/>
  <c r="M25" i="14"/>
  <c r="K26" i="14"/>
  <c r="L26" i="14"/>
  <c r="M26" i="14"/>
  <c r="K27" i="14"/>
  <c r="L27" i="14"/>
  <c r="M27" i="14"/>
  <c r="K28" i="14"/>
  <c r="L28" i="14"/>
  <c r="M28" i="14"/>
  <c r="K29" i="14"/>
  <c r="L29" i="14"/>
  <c r="M29" i="14"/>
  <c r="K30" i="14"/>
  <c r="L30" i="14"/>
  <c r="M30" i="14"/>
  <c r="K31" i="14"/>
  <c r="L31" i="14"/>
  <c r="M31" i="14"/>
  <c r="K32" i="14"/>
  <c r="L32" i="14"/>
  <c r="M32" i="14"/>
  <c r="K33" i="14"/>
  <c r="L33" i="14"/>
  <c r="M33" i="14"/>
  <c r="K34" i="14"/>
  <c r="L34" i="14"/>
  <c r="M34" i="14"/>
  <c r="K35" i="14"/>
  <c r="L35" i="14"/>
  <c r="M35" i="14"/>
  <c r="K36" i="14"/>
  <c r="L36" i="14"/>
  <c r="M36" i="14"/>
  <c r="K37" i="14"/>
  <c r="L37" i="14"/>
  <c r="M37" i="14"/>
  <c r="K38" i="14"/>
  <c r="L38" i="14"/>
  <c r="M38" i="14"/>
  <c r="K39" i="14"/>
  <c r="L39" i="14"/>
  <c r="M39" i="14"/>
  <c r="K40" i="14"/>
  <c r="L40" i="14"/>
  <c r="M40" i="14"/>
  <c r="K41" i="14"/>
  <c r="L41" i="14"/>
  <c r="M41" i="14"/>
  <c r="K42" i="14"/>
  <c r="L42" i="14"/>
  <c r="M42" i="14"/>
  <c r="K43" i="14"/>
  <c r="L43" i="14"/>
  <c r="M43" i="14"/>
  <c r="K44" i="14"/>
  <c r="L44" i="14"/>
  <c r="M44" i="14"/>
  <c r="K45" i="14"/>
  <c r="L45" i="14"/>
  <c r="M45" i="14"/>
  <c r="K46" i="14"/>
  <c r="L46" i="14"/>
  <c r="M46" i="14"/>
  <c r="K47" i="14"/>
  <c r="L47" i="14"/>
  <c r="M47" i="14"/>
  <c r="K48" i="14"/>
  <c r="L48" i="14"/>
  <c r="M48" i="14"/>
  <c r="K49" i="14"/>
  <c r="L49" i="14"/>
  <c r="M49" i="14"/>
  <c r="K50" i="14"/>
  <c r="L50" i="14"/>
  <c r="M50" i="14"/>
  <c r="K51" i="14"/>
  <c r="L51" i="14"/>
  <c r="M51" i="14"/>
  <c r="K52" i="14"/>
  <c r="L52" i="14"/>
  <c r="M52" i="14"/>
  <c r="K53" i="14"/>
  <c r="L53" i="14"/>
  <c r="M53" i="14"/>
  <c r="K54" i="14"/>
  <c r="L54" i="14"/>
  <c r="M54" i="14"/>
  <c r="K55" i="14"/>
  <c r="L55" i="14"/>
  <c r="M55" i="14"/>
  <c r="K56" i="14"/>
  <c r="L56" i="14"/>
  <c r="M56" i="14"/>
  <c r="K57" i="14"/>
  <c r="L57" i="14"/>
  <c r="M57" i="14"/>
  <c r="K58" i="14"/>
  <c r="L58" i="14"/>
  <c r="M58" i="14"/>
  <c r="K59" i="14"/>
  <c r="L59" i="14"/>
  <c r="M59" i="14"/>
  <c r="K60" i="14"/>
  <c r="L60" i="14"/>
  <c r="M60" i="14"/>
  <c r="K61" i="14"/>
  <c r="L61" i="14"/>
  <c r="M61" i="14"/>
  <c r="K62" i="14"/>
  <c r="L62" i="14"/>
  <c r="M62" i="14"/>
  <c r="K63" i="14"/>
  <c r="L63" i="14"/>
  <c r="M63" i="14"/>
  <c r="K64" i="14"/>
  <c r="L64" i="14"/>
  <c r="M64" i="14"/>
  <c r="K65" i="14"/>
  <c r="L65" i="14"/>
  <c r="M65" i="14"/>
  <c r="K66" i="14"/>
  <c r="L66" i="14"/>
  <c r="M66" i="14"/>
  <c r="K67" i="14"/>
  <c r="L67" i="14"/>
  <c r="M67" i="14"/>
  <c r="K4" i="15"/>
  <c r="L4" i="15"/>
  <c r="M4" i="15"/>
  <c r="K5" i="15"/>
  <c r="L5" i="15"/>
  <c r="M5" i="15"/>
  <c r="K6" i="15"/>
  <c r="L6" i="15"/>
  <c r="M6" i="15"/>
  <c r="K7" i="15"/>
  <c r="L7" i="15"/>
  <c r="M7" i="15"/>
  <c r="K8" i="15"/>
  <c r="L8" i="15"/>
  <c r="M8" i="15"/>
  <c r="K9" i="15"/>
  <c r="L9" i="15"/>
  <c r="M9" i="15"/>
  <c r="K10" i="15"/>
  <c r="L10" i="15"/>
  <c r="M10" i="15"/>
  <c r="K11" i="15"/>
  <c r="L11" i="15"/>
  <c r="M11" i="15"/>
  <c r="K12" i="15"/>
  <c r="L12" i="15"/>
  <c r="M12" i="15"/>
  <c r="K13" i="15"/>
  <c r="L13" i="15"/>
  <c r="M13" i="15"/>
  <c r="K14" i="15"/>
  <c r="L14" i="15"/>
  <c r="M14" i="15"/>
  <c r="K15" i="15"/>
  <c r="L15" i="15"/>
  <c r="M15" i="15"/>
  <c r="K16" i="15"/>
  <c r="L16" i="15"/>
  <c r="M16" i="15"/>
  <c r="K17" i="15"/>
  <c r="L17" i="15"/>
  <c r="M17" i="15"/>
  <c r="K18" i="15"/>
  <c r="L18" i="15"/>
  <c r="M18" i="15"/>
  <c r="K19" i="15"/>
  <c r="L19" i="15"/>
  <c r="M19" i="15"/>
  <c r="K20" i="15"/>
  <c r="L20" i="15"/>
  <c r="M20" i="15"/>
  <c r="K21" i="15"/>
  <c r="L21" i="15"/>
  <c r="M21" i="15"/>
  <c r="K22" i="15"/>
  <c r="L22" i="15"/>
  <c r="M22" i="15"/>
  <c r="K23" i="15"/>
  <c r="L23" i="15"/>
  <c r="M23" i="15"/>
  <c r="K24" i="15"/>
  <c r="L24" i="15"/>
  <c r="M24" i="15"/>
  <c r="K25" i="15"/>
  <c r="L25" i="15"/>
  <c r="M25" i="15"/>
  <c r="K26" i="15"/>
  <c r="L26" i="15"/>
  <c r="M26" i="15"/>
  <c r="K27" i="15"/>
  <c r="L27" i="15"/>
  <c r="M27" i="15"/>
  <c r="K28" i="15"/>
  <c r="L28" i="15"/>
  <c r="M28" i="15"/>
  <c r="K29" i="15"/>
  <c r="L29" i="15"/>
  <c r="M29" i="15"/>
  <c r="K30" i="15"/>
  <c r="L30" i="15"/>
  <c r="M30" i="15"/>
  <c r="K31" i="15"/>
  <c r="L31" i="15"/>
  <c r="M31" i="15"/>
  <c r="K32" i="15"/>
  <c r="L32" i="15"/>
  <c r="M32" i="15"/>
  <c r="K33" i="15"/>
  <c r="L33" i="15"/>
  <c r="M33" i="15"/>
  <c r="K34" i="15"/>
  <c r="L34" i="15"/>
  <c r="M34" i="15"/>
  <c r="K35" i="15"/>
  <c r="L35" i="15"/>
  <c r="M35" i="15"/>
  <c r="K36" i="15"/>
  <c r="L36" i="15"/>
  <c r="M36" i="15"/>
  <c r="K37" i="15"/>
  <c r="L37" i="15"/>
  <c r="M37" i="15"/>
  <c r="K38" i="15"/>
  <c r="L38" i="15"/>
  <c r="M38" i="15"/>
  <c r="K39" i="15"/>
  <c r="L39" i="15"/>
  <c r="M39" i="15"/>
  <c r="K40" i="15"/>
  <c r="L40" i="15"/>
  <c r="M40" i="15"/>
  <c r="K41" i="15"/>
  <c r="L41" i="15"/>
  <c r="M41" i="15"/>
  <c r="K42" i="15"/>
  <c r="L42" i="15"/>
  <c r="M42" i="15"/>
  <c r="K43" i="15"/>
  <c r="L43" i="15"/>
  <c r="M43" i="15"/>
  <c r="K44" i="15"/>
  <c r="L44" i="15"/>
  <c r="M44" i="15"/>
  <c r="K45" i="15"/>
  <c r="L45" i="15"/>
  <c r="M45" i="15"/>
  <c r="K46" i="15"/>
  <c r="L46" i="15"/>
  <c r="M46" i="15"/>
  <c r="K47" i="15"/>
  <c r="L47" i="15"/>
  <c r="M47" i="15"/>
  <c r="K48" i="15"/>
  <c r="L48" i="15"/>
  <c r="M48" i="15"/>
  <c r="K49" i="15"/>
  <c r="L49" i="15"/>
  <c r="M49" i="15"/>
  <c r="K50" i="15"/>
  <c r="L50" i="15"/>
  <c r="M50" i="15"/>
  <c r="K51" i="15"/>
  <c r="L51" i="15"/>
  <c r="M51" i="15"/>
  <c r="K52" i="15"/>
  <c r="L52" i="15"/>
  <c r="M52" i="15"/>
  <c r="K53" i="15"/>
  <c r="L53" i="15"/>
  <c r="M53" i="15"/>
  <c r="K54" i="15"/>
  <c r="L54" i="15"/>
  <c r="M54" i="15"/>
  <c r="K55" i="15"/>
  <c r="L55" i="15"/>
  <c r="M55" i="15"/>
  <c r="K56" i="15"/>
  <c r="L56" i="15"/>
  <c r="M56" i="15"/>
  <c r="K57" i="15"/>
  <c r="L57" i="15"/>
  <c r="M57" i="15"/>
  <c r="K58" i="15"/>
  <c r="L58" i="15"/>
  <c r="M58" i="15"/>
  <c r="K59" i="15"/>
  <c r="L59" i="15"/>
  <c r="M59" i="15"/>
  <c r="K60" i="15"/>
  <c r="L60" i="15"/>
  <c r="M60" i="15"/>
  <c r="K61" i="15"/>
  <c r="L61" i="15"/>
  <c r="M61" i="15"/>
  <c r="K62" i="15"/>
  <c r="L62" i="15"/>
  <c r="M62" i="15"/>
  <c r="K63" i="15"/>
  <c r="L63" i="15"/>
  <c r="M63" i="15"/>
  <c r="K64" i="15"/>
  <c r="L64" i="15"/>
  <c r="M64" i="15"/>
  <c r="K65" i="15"/>
  <c r="L65" i="15"/>
  <c r="M65" i="15"/>
  <c r="K66" i="15"/>
  <c r="L66" i="15"/>
  <c r="M66" i="15"/>
  <c r="K67" i="15"/>
  <c r="L67" i="15"/>
  <c r="M67" i="15"/>
  <c r="K68" i="15"/>
  <c r="L68" i="15"/>
  <c r="M68" i="15"/>
  <c r="K69" i="15"/>
  <c r="L69" i="15"/>
  <c r="M69" i="15"/>
  <c r="K70" i="15"/>
  <c r="L70" i="15"/>
  <c r="M70" i="15"/>
  <c r="K71" i="15"/>
  <c r="L71" i="15"/>
  <c r="M71" i="15"/>
  <c r="K72" i="15"/>
  <c r="L72" i="15"/>
  <c r="M72" i="15"/>
  <c r="K5" i="8"/>
  <c r="L5" i="8"/>
  <c r="M5" i="8"/>
  <c r="K6" i="8"/>
  <c r="L6" i="8"/>
  <c r="M6" i="8"/>
  <c r="K7" i="8"/>
  <c r="L7" i="8"/>
  <c r="M7" i="8"/>
  <c r="K8" i="8"/>
  <c r="L8" i="8"/>
  <c r="M8" i="8"/>
  <c r="K9" i="8"/>
  <c r="L9" i="8"/>
  <c r="M9" i="8"/>
  <c r="K10" i="8"/>
  <c r="L10" i="8"/>
  <c r="M10" i="8"/>
  <c r="K11" i="8"/>
  <c r="L11" i="8"/>
  <c r="M11" i="8"/>
  <c r="K12" i="8"/>
  <c r="L12" i="8"/>
  <c r="M12" i="8"/>
  <c r="K13" i="8"/>
  <c r="L13" i="8"/>
  <c r="M13" i="8"/>
  <c r="K14" i="8"/>
  <c r="L14" i="8"/>
  <c r="M14" i="8"/>
  <c r="K15" i="8"/>
  <c r="L15" i="8"/>
  <c r="M15" i="8"/>
  <c r="K16" i="8"/>
  <c r="L16" i="8"/>
  <c r="M16" i="8"/>
  <c r="K17" i="8"/>
  <c r="L17" i="8"/>
  <c r="M17" i="8"/>
  <c r="K18" i="8"/>
  <c r="L18" i="8"/>
  <c r="M18" i="8"/>
  <c r="K19" i="8"/>
  <c r="L19" i="8"/>
  <c r="M19" i="8"/>
  <c r="K20" i="8"/>
  <c r="L20" i="8"/>
  <c r="M20" i="8"/>
  <c r="K21" i="8"/>
  <c r="L21" i="8"/>
  <c r="M21" i="8"/>
  <c r="K22" i="8"/>
  <c r="L22" i="8"/>
  <c r="M22" i="8"/>
  <c r="K23" i="8"/>
  <c r="L23" i="8"/>
  <c r="M23" i="8"/>
  <c r="K24" i="8"/>
  <c r="L24" i="8"/>
  <c r="M24" i="8"/>
  <c r="K25" i="8"/>
  <c r="L25" i="8"/>
  <c r="M25" i="8"/>
  <c r="K26" i="8"/>
  <c r="L26" i="8"/>
  <c r="M26" i="8"/>
  <c r="K27" i="8"/>
  <c r="L27" i="8"/>
  <c r="M27" i="8"/>
  <c r="K28" i="8"/>
  <c r="L28" i="8"/>
  <c r="M28" i="8"/>
  <c r="K29" i="8"/>
  <c r="L29" i="8"/>
  <c r="M29" i="8"/>
  <c r="K30" i="8"/>
  <c r="L30" i="8"/>
  <c r="M30" i="8"/>
  <c r="K31" i="8"/>
  <c r="L31" i="8"/>
  <c r="M31" i="8"/>
  <c r="K32" i="8"/>
  <c r="L32" i="8"/>
  <c r="M32" i="8"/>
  <c r="K33" i="8"/>
  <c r="L33" i="8"/>
  <c r="M33" i="8"/>
  <c r="K34" i="8"/>
  <c r="L34" i="8"/>
  <c r="M34" i="8"/>
  <c r="K35" i="8"/>
  <c r="L35" i="8"/>
  <c r="M35" i="8"/>
  <c r="K36" i="8"/>
  <c r="L36" i="8"/>
  <c r="M36" i="8"/>
  <c r="K37" i="8"/>
  <c r="L37" i="8"/>
  <c r="M37" i="8"/>
  <c r="K38" i="8"/>
  <c r="L38" i="8"/>
  <c r="M38" i="8"/>
  <c r="K39" i="8"/>
  <c r="L39" i="8"/>
  <c r="M39" i="8"/>
  <c r="K40" i="8"/>
  <c r="L40" i="8"/>
  <c r="M40" i="8"/>
  <c r="K41" i="8"/>
  <c r="L41" i="8"/>
  <c r="M41" i="8"/>
  <c r="K42" i="8"/>
  <c r="L42" i="8"/>
  <c r="M42" i="8"/>
  <c r="K43" i="8"/>
  <c r="L43" i="8"/>
  <c r="M43" i="8"/>
  <c r="K44" i="8"/>
  <c r="L44" i="8"/>
  <c r="M44" i="8"/>
  <c r="K45" i="8"/>
  <c r="L45" i="8"/>
  <c r="M45" i="8"/>
  <c r="K46" i="8"/>
  <c r="L46" i="8"/>
  <c r="M46" i="8"/>
  <c r="K47" i="8"/>
  <c r="L47" i="8"/>
  <c r="M47" i="8"/>
  <c r="K48" i="8"/>
  <c r="L48" i="8"/>
  <c r="M48" i="8"/>
  <c r="K49" i="8"/>
  <c r="L49" i="8"/>
  <c r="M49" i="8"/>
  <c r="K50" i="8"/>
  <c r="L50" i="8"/>
  <c r="M50" i="8"/>
  <c r="K51" i="8"/>
  <c r="L51" i="8"/>
  <c r="M51" i="8"/>
  <c r="K52" i="8"/>
  <c r="L52" i="8"/>
  <c r="M52" i="8"/>
  <c r="K53" i="8"/>
  <c r="L53" i="8"/>
  <c r="M53" i="8"/>
  <c r="K54" i="8"/>
  <c r="L54" i="8"/>
  <c r="M54" i="8"/>
  <c r="K55" i="8"/>
  <c r="L55" i="8"/>
  <c r="M55" i="8"/>
  <c r="K56" i="8"/>
  <c r="L56" i="8"/>
  <c r="M56" i="8"/>
  <c r="K57" i="8"/>
  <c r="L57" i="8"/>
  <c r="M57" i="8"/>
  <c r="K58" i="8"/>
  <c r="L58" i="8"/>
  <c r="M58" i="8"/>
  <c r="K59" i="8"/>
  <c r="L59" i="8"/>
  <c r="M59" i="8"/>
  <c r="K60" i="8"/>
  <c r="L60" i="8"/>
  <c r="M60" i="8"/>
  <c r="K61" i="8"/>
  <c r="L61" i="8"/>
  <c r="M61" i="8"/>
  <c r="K62" i="8"/>
  <c r="L62" i="8"/>
  <c r="M62" i="8"/>
  <c r="K63" i="8"/>
  <c r="L63" i="8"/>
  <c r="M63" i="8"/>
  <c r="K64" i="8"/>
  <c r="L64" i="8"/>
  <c r="M64" i="8"/>
  <c r="K65" i="8"/>
  <c r="L65" i="8"/>
  <c r="M65" i="8"/>
  <c r="K66" i="8"/>
  <c r="L66" i="8"/>
  <c r="M66" i="8"/>
  <c r="K67" i="8"/>
  <c r="L67" i="8"/>
  <c r="M67" i="8"/>
  <c r="K68" i="8"/>
  <c r="L68" i="8"/>
  <c r="M68" i="8"/>
  <c r="K69" i="8"/>
  <c r="L69" i="8"/>
  <c r="M69" i="8"/>
  <c r="K70" i="8"/>
  <c r="L70" i="8"/>
  <c r="M70" i="8"/>
  <c r="K4" i="10"/>
  <c r="L4" i="10"/>
  <c r="M4" i="10"/>
  <c r="K5" i="10"/>
  <c r="L5" i="10"/>
  <c r="M5" i="10"/>
  <c r="K6" i="10"/>
  <c r="L6" i="10"/>
  <c r="M6" i="10"/>
  <c r="K7" i="10"/>
  <c r="L7" i="10"/>
  <c r="M7" i="10"/>
  <c r="K8" i="10"/>
  <c r="L8" i="10"/>
  <c r="M8" i="10"/>
  <c r="K9" i="10"/>
  <c r="L9" i="10"/>
  <c r="M9" i="10"/>
  <c r="K10" i="10"/>
  <c r="L10" i="10"/>
  <c r="M10" i="10"/>
  <c r="K11" i="10"/>
  <c r="L11" i="10"/>
  <c r="M11" i="10"/>
  <c r="K12" i="10"/>
  <c r="L12" i="10"/>
  <c r="M12" i="10"/>
  <c r="K13" i="10"/>
  <c r="L13" i="10"/>
  <c r="M13" i="10"/>
  <c r="K14" i="10"/>
  <c r="L14" i="10"/>
  <c r="M14" i="10"/>
  <c r="K15" i="10"/>
  <c r="L15" i="10"/>
  <c r="M15" i="10"/>
  <c r="K16" i="10"/>
  <c r="L16" i="10"/>
  <c r="M16" i="10"/>
  <c r="K17" i="10"/>
  <c r="L17" i="10"/>
  <c r="M17" i="10"/>
  <c r="K18" i="10"/>
  <c r="L18" i="10"/>
  <c r="M18" i="10"/>
  <c r="K19" i="10"/>
  <c r="L19" i="10"/>
  <c r="M19" i="10"/>
  <c r="K20" i="10"/>
  <c r="L20" i="10"/>
  <c r="M20" i="10"/>
  <c r="K21" i="10"/>
  <c r="L21" i="10"/>
  <c r="M21" i="10"/>
  <c r="K22" i="10"/>
  <c r="L22" i="10"/>
  <c r="M22" i="10"/>
  <c r="K23" i="10"/>
  <c r="L23" i="10"/>
  <c r="M23" i="10"/>
  <c r="K24" i="10"/>
  <c r="L24" i="10"/>
  <c r="M24" i="10"/>
  <c r="K25" i="10"/>
  <c r="L25" i="10"/>
  <c r="M25" i="10"/>
  <c r="K26" i="10"/>
  <c r="L26" i="10"/>
  <c r="M26" i="10"/>
  <c r="K27" i="10"/>
  <c r="L27" i="10"/>
  <c r="M27" i="10"/>
  <c r="K28" i="10"/>
  <c r="L28" i="10"/>
  <c r="M28" i="10"/>
  <c r="K29" i="10"/>
  <c r="L29" i="10"/>
  <c r="M29" i="10"/>
  <c r="K30" i="10"/>
  <c r="L30" i="10"/>
  <c r="M30" i="10"/>
  <c r="K31" i="10"/>
  <c r="L31" i="10"/>
  <c r="M31" i="10"/>
  <c r="K32" i="10"/>
  <c r="L32" i="10"/>
  <c r="M32" i="10"/>
  <c r="K33" i="10"/>
  <c r="L33" i="10"/>
  <c r="M33" i="10"/>
  <c r="K34" i="10"/>
  <c r="L34" i="10"/>
  <c r="M34" i="10"/>
  <c r="K35" i="10"/>
  <c r="L35" i="10"/>
  <c r="M35" i="10"/>
  <c r="K36" i="10"/>
  <c r="L36" i="10"/>
  <c r="M36" i="10"/>
  <c r="K37" i="10"/>
  <c r="L37" i="10"/>
  <c r="M37" i="10"/>
  <c r="K38" i="10"/>
  <c r="L38" i="10"/>
  <c r="M38" i="10"/>
  <c r="K39" i="10"/>
  <c r="L39" i="10"/>
  <c r="M39" i="10"/>
  <c r="K40" i="10"/>
  <c r="L40" i="10"/>
  <c r="M40" i="10"/>
  <c r="K41" i="10"/>
  <c r="L41" i="10"/>
  <c r="M41" i="10"/>
  <c r="K42" i="10"/>
  <c r="L42" i="10"/>
  <c r="M42" i="10"/>
  <c r="K43" i="10"/>
  <c r="L43" i="10"/>
  <c r="M43" i="10"/>
  <c r="K44" i="10"/>
  <c r="L44" i="10"/>
  <c r="M44" i="10"/>
  <c r="K45" i="10"/>
  <c r="L45" i="10"/>
  <c r="M45" i="10"/>
  <c r="K46" i="10"/>
  <c r="L46" i="10"/>
  <c r="M46" i="10"/>
  <c r="K47" i="10"/>
  <c r="L47" i="10"/>
  <c r="M47" i="10"/>
  <c r="K48" i="10"/>
  <c r="L48" i="10"/>
  <c r="M48" i="10"/>
  <c r="K49" i="10"/>
  <c r="L49" i="10"/>
  <c r="M49" i="10"/>
  <c r="K50" i="10"/>
  <c r="L50" i="10"/>
  <c r="M50" i="10"/>
  <c r="K51" i="10"/>
  <c r="L51" i="10"/>
  <c r="M51" i="10"/>
  <c r="K52" i="10"/>
  <c r="L52" i="10"/>
  <c r="M52" i="10"/>
  <c r="K53" i="10"/>
  <c r="L53" i="10"/>
  <c r="M53" i="10"/>
  <c r="K54" i="10"/>
  <c r="L54" i="10"/>
  <c r="M54" i="10"/>
  <c r="K55" i="10"/>
  <c r="L55" i="10"/>
  <c r="M55" i="10"/>
  <c r="K56" i="10"/>
  <c r="L56" i="10"/>
  <c r="M56" i="10"/>
  <c r="K57" i="10"/>
  <c r="L57" i="10"/>
  <c r="M57" i="10"/>
  <c r="K58" i="10"/>
  <c r="L58" i="10"/>
  <c r="M58" i="10"/>
  <c r="K59" i="10"/>
  <c r="L59" i="10"/>
  <c r="M59" i="10"/>
  <c r="K60" i="10"/>
  <c r="L60" i="10"/>
  <c r="M60" i="10"/>
  <c r="K61" i="10"/>
  <c r="L61" i="10"/>
  <c r="M61" i="10"/>
  <c r="K62" i="10"/>
  <c r="L62" i="10"/>
  <c r="M62" i="10"/>
  <c r="K63" i="10"/>
  <c r="L63" i="10"/>
  <c r="M63" i="10"/>
  <c r="K64" i="10"/>
  <c r="L64" i="10"/>
  <c r="M64" i="10"/>
  <c r="K65" i="10"/>
  <c r="L65" i="10"/>
  <c r="M65" i="10"/>
  <c r="K66" i="10"/>
  <c r="L66" i="10"/>
  <c r="M66" i="10"/>
  <c r="K67" i="10"/>
  <c r="L67" i="10"/>
  <c r="M67" i="10"/>
  <c r="K4" i="11"/>
  <c r="L4" i="11"/>
  <c r="M4" i="11"/>
  <c r="K5" i="11"/>
  <c r="L5" i="11"/>
  <c r="M5" i="11"/>
  <c r="K6" i="11"/>
  <c r="L6" i="11"/>
  <c r="M6" i="11"/>
  <c r="K7" i="11"/>
  <c r="L7" i="11"/>
  <c r="M7" i="11"/>
  <c r="K8" i="11"/>
  <c r="L8" i="11"/>
  <c r="M8" i="11"/>
  <c r="K9" i="11"/>
  <c r="L9" i="11"/>
  <c r="M9" i="11"/>
  <c r="K10" i="11"/>
  <c r="L10" i="11"/>
  <c r="M10" i="11"/>
  <c r="K11" i="11"/>
  <c r="L11" i="11"/>
  <c r="M11" i="11"/>
  <c r="K12" i="11"/>
  <c r="L12" i="11"/>
  <c r="M12" i="11"/>
  <c r="K13" i="11"/>
  <c r="L13" i="11"/>
  <c r="M13" i="11"/>
  <c r="K14" i="11"/>
  <c r="L14" i="11"/>
  <c r="M14" i="11"/>
  <c r="K15" i="11"/>
  <c r="L15" i="11"/>
  <c r="M15" i="11"/>
  <c r="K16" i="11"/>
  <c r="L16" i="11"/>
  <c r="M16" i="11"/>
  <c r="K17" i="11"/>
  <c r="L17" i="11"/>
  <c r="M17" i="11"/>
  <c r="K18" i="11"/>
  <c r="L18" i="11"/>
  <c r="M18" i="11"/>
  <c r="K19" i="11"/>
  <c r="L19" i="11"/>
  <c r="M19" i="11"/>
  <c r="K20" i="11"/>
  <c r="L20" i="11"/>
  <c r="M20" i="11"/>
  <c r="K21" i="11"/>
  <c r="L21" i="11"/>
  <c r="M21" i="11"/>
  <c r="K22" i="11"/>
  <c r="L22" i="11"/>
  <c r="M22" i="11"/>
  <c r="K23" i="11"/>
  <c r="L23" i="11"/>
  <c r="M23" i="11"/>
  <c r="K24" i="11"/>
  <c r="L24" i="11"/>
  <c r="M24" i="11"/>
  <c r="K25" i="11"/>
  <c r="L25" i="11"/>
  <c r="M25" i="11"/>
  <c r="K26" i="11"/>
  <c r="L26" i="11"/>
  <c r="M26" i="11"/>
  <c r="K27" i="11"/>
  <c r="L27" i="11"/>
  <c r="M27" i="11"/>
  <c r="K28" i="11"/>
  <c r="L28" i="11"/>
  <c r="M28" i="11"/>
  <c r="K29" i="11"/>
  <c r="L29" i="11"/>
  <c r="M29" i="11"/>
  <c r="K30" i="11"/>
  <c r="L30" i="11"/>
  <c r="M30" i="11"/>
  <c r="K31" i="11"/>
  <c r="L31" i="11"/>
  <c r="M31" i="11"/>
  <c r="K32" i="11"/>
  <c r="L32" i="11"/>
  <c r="M32" i="11"/>
  <c r="K33" i="11"/>
  <c r="L33" i="11"/>
  <c r="M33" i="11"/>
  <c r="K34" i="11"/>
  <c r="L34" i="11"/>
  <c r="M34" i="11"/>
  <c r="K35" i="11"/>
  <c r="L35" i="11"/>
  <c r="M35" i="11"/>
  <c r="K36" i="11"/>
  <c r="L36" i="11"/>
  <c r="M36" i="11"/>
  <c r="K37" i="11"/>
  <c r="L37" i="11"/>
  <c r="M37" i="11"/>
  <c r="K38" i="11"/>
  <c r="L38" i="11"/>
  <c r="M38" i="11"/>
  <c r="K39" i="11"/>
  <c r="L39" i="11"/>
  <c r="M39" i="11"/>
  <c r="K40" i="11"/>
  <c r="L40" i="11"/>
  <c r="M40" i="11"/>
  <c r="K41" i="11"/>
  <c r="L41" i="11"/>
  <c r="M41" i="11"/>
  <c r="K42" i="11"/>
  <c r="L42" i="11"/>
  <c r="M42" i="11"/>
  <c r="K43" i="11"/>
  <c r="L43" i="11"/>
  <c r="M43" i="11"/>
  <c r="K44" i="11"/>
  <c r="L44" i="11"/>
  <c r="M44" i="11"/>
  <c r="K45" i="11"/>
  <c r="L45" i="11"/>
  <c r="M45" i="11"/>
  <c r="K46" i="11"/>
  <c r="L46" i="11"/>
  <c r="M46" i="11"/>
  <c r="K47" i="11"/>
  <c r="L47" i="11"/>
  <c r="M47" i="11"/>
  <c r="K48" i="11"/>
  <c r="L48" i="11"/>
  <c r="M48" i="11"/>
  <c r="K49" i="11"/>
  <c r="L49" i="11"/>
  <c r="M49" i="11"/>
  <c r="K50" i="11"/>
  <c r="L50" i="11"/>
  <c r="M50" i="11"/>
  <c r="K51" i="11"/>
  <c r="L51" i="11"/>
  <c r="M51" i="11"/>
  <c r="K52" i="11"/>
  <c r="L52" i="11"/>
  <c r="M52" i="11"/>
  <c r="K53" i="11"/>
  <c r="L53" i="11"/>
  <c r="M53" i="11"/>
  <c r="K54" i="11"/>
  <c r="L54" i="11"/>
  <c r="M54" i="11"/>
  <c r="K55" i="11"/>
  <c r="L55" i="11"/>
  <c r="M55" i="11"/>
  <c r="K56" i="11"/>
  <c r="L56" i="11"/>
  <c r="M56" i="11"/>
  <c r="K57" i="11"/>
  <c r="L57" i="11"/>
  <c r="M57" i="11"/>
  <c r="K58" i="11"/>
  <c r="L58" i="11"/>
  <c r="M58" i="11"/>
  <c r="K59" i="11"/>
  <c r="L59" i="11"/>
  <c r="M59" i="11"/>
  <c r="K60" i="11"/>
  <c r="L60" i="11"/>
  <c r="M60" i="11"/>
  <c r="K61" i="11"/>
  <c r="L61" i="11"/>
  <c r="M61" i="11"/>
  <c r="K62" i="11"/>
  <c r="L62" i="11"/>
  <c r="M62" i="11"/>
  <c r="K63" i="11"/>
  <c r="L63" i="11"/>
  <c r="M63" i="11"/>
  <c r="K64" i="11"/>
  <c r="L64" i="11"/>
  <c r="M64" i="11"/>
  <c r="K65" i="11"/>
  <c r="L65" i="11"/>
  <c r="M65" i="11"/>
  <c r="K66" i="11"/>
  <c r="L66" i="11"/>
  <c r="M66" i="11"/>
  <c r="K67" i="11"/>
  <c r="L67" i="11"/>
  <c r="M67" i="11"/>
  <c r="K68" i="11"/>
  <c r="L68" i="11"/>
  <c r="M68" i="11"/>
  <c r="K69" i="11"/>
  <c r="L69" i="11"/>
  <c r="M69" i="11"/>
  <c r="K70" i="11"/>
  <c r="L70" i="11"/>
  <c r="M70" i="11"/>
  <c r="K71" i="11"/>
  <c r="L71" i="11"/>
  <c r="M71" i="11"/>
  <c r="K72" i="11"/>
  <c r="L72" i="11"/>
  <c r="M72" i="11"/>
  <c r="K73" i="11"/>
  <c r="L73" i="11"/>
  <c r="M73" i="11"/>
  <c r="K4" i="12"/>
  <c r="L4" i="12"/>
  <c r="M4" i="12"/>
  <c r="K5" i="12"/>
  <c r="L5" i="12"/>
  <c r="M5" i="12"/>
  <c r="K6" i="12"/>
  <c r="L6" i="12"/>
  <c r="M6" i="12"/>
  <c r="K7" i="12"/>
  <c r="L7" i="12"/>
  <c r="M7" i="12"/>
  <c r="K8" i="12"/>
  <c r="L8" i="12"/>
  <c r="M8" i="12"/>
  <c r="K9" i="12"/>
  <c r="L9" i="12"/>
  <c r="M9" i="12"/>
  <c r="K10" i="12"/>
  <c r="L10" i="12"/>
  <c r="M10" i="12"/>
  <c r="K11" i="12"/>
  <c r="L11" i="12"/>
  <c r="M11" i="12"/>
  <c r="K12" i="12"/>
  <c r="L12" i="12"/>
  <c r="M12" i="12"/>
  <c r="K13" i="12"/>
  <c r="L13" i="12"/>
  <c r="M13" i="12"/>
  <c r="K14" i="12"/>
  <c r="L14" i="12"/>
  <c r="M14" i="12"/>
  <c r="K15" i="12"/>
  <c r="L15" i="12"/>
  <c r="M15" i="12"/>
  <c r="K16" i="12"/>
  <c r="L16" i="12"/>
  <c r="M16" i="12"/>
  <c r="K17" i="12"/>
  <c r="L17" i="12"/>
  <c r="M17" i="12"/>
  <c r="K18" i="12"/>
  <c r="L18" i="12"/>
  <c r="M18" i="12"/>
  <c r="K19" i="12"/>
  <c r="L19" i="12"/>
  <c r="M19" i="12"/>
  <c r="K20" i="12"/>
  <c r="L20" i="12"/>
  <c r="M20" i="12"/>
  <c r="K21" i="12"/>
  <c r="L21" i="12"/>
  <c r="M21" i="12"/>
  <c r="K22" i="12"/>
  <c r="L22" i="12"/>
  <c r="M22" i="12"/>
  <c r="K23" i="12"/>
  <c r="L23" i="12"/>
  <c r="M23" i="12"/>
  <c r="K24" i="12"/>
  <c r="L24" i="12"/>
  <c r="M24" i="12"/>
  <c r="K25" i="12"/>
  <c r="L25" i="12"/>
  <c r="M25" i="12"/>
  <c r="K26" i="12"/>
  <c r="L26" i="12"/>
  <c r="M26" i="12"/>
  <c r="K27" i="12"/>
  <c r="L27" i="12"/>
  <c r="M27" i="12"/>
  <c r="K28" i="12"/>
  <c r="L28" i="12"/>
  <c r="M28" i="12"/>
  <c r="K29" i="12"/>
  <c r="L29" i="12"/>
  <c r="M29" i="12"/>
  <c r="K30" i="12"/>
  <c r="L30" i="12"/>
  <c r="M30" i="12"/>
  <c r="K31" i="12"/>
  <c r="L31" i="12"/>
  <c r="M31" i="12"/>
  <c r="K32" i="12"/>
  <c r="L32" i="12"/>
  <c r="M32" i="12"/>
  <c r="K33" i="12"/>
  <c r="L33" i="12"/>
  <c r="M33" i="12"/>
  <c r="K34" i="12"/>
  <c r="L34" i="12"/>
  <c r="M34" i="12"/>
  <c r="K35" i="12"/>
  <c r="L35" i="12"/>
  <c r="M35" i="12"/>
  <c r="K36" i="12"/>
  <c r="L36" i="12"/>
  <c r="M36" i="12"/>
  <c r="K37" i="12"/>
  <c r="L37" i="12"/>
  <c r="M37" i="12"/>
  <c r="K38" i="12"/>
  <c r="L38" i="12"/>
  <c r="M38" i="12"/>
  <c r="K39" i="12"/>
  <c r="L39" i="12"/>
  <c r="M39" i="12"/>
  <c r="K40" i="12"/>
  <c r="L40" i="12"/>
  <c r="M40" i="12"/>
  <c r="K41" i="12"/>
  <c r="L41" i="12"/>
  <c r="M41" i="12"/>
  <c r="K42" i="12"/>
  <c r="L42" i="12"/>
  <c r="M42" i="12"/>
  <c r="K43" i="12"/>
  <c r="L43" i="12"/>
  <c r="M43" i="12"/>
  <c r="K44" i="12"/>
  <c r="L44" i="12"/>
  <c r="M44" i="12"/>
  <c r="K45" i="12"/>
  <c r="L45" i="12"/>
  <c r="M45" i="12"/>
  <c r="K46" i="12"/>
  <c r="L46" i="12"/>
  <c r="M46" i="12"/>
  <c r="K47" i="12"/>
  <c r="L47" i="12"/>
  <c r="M47" i="12"/>
  <c r="K48" i="12"/>
  <c r="L48" i="12"/>
  <c r="M48" i="12"/>
  <c r="K49" i="12"/>
  <c r="L49" i="12"/>
  <c r="M49" i="12"/>
  <c r="K50" i="12"/>
  <c r="L50" i="12"/>
  <c r="M50" i="12"/>
  <c r="K51" i="12"/>
  <c r="L51" i="12"/>
  <c r="M51" i="12"/>
  <c r="K52" i="12"/>
  <c r="L52" i="12"/>
  <c r="M52" i="12"/>
  <c r="K53" i="12"/>
  <c r="L53" i="12"/>
  <c r="M53" i="12"/>
  <c r="K54" i="12"/>
  <c r="L54" i="12"/>
  <c r="M54" i="12"/>
  <c r="K55" i="12"/>
  <c r="L55" i="12"/>
  <c r="M55" i="12"/>
  <c r="K56" i="12"/>
  <c r="L56" i="12"/>
  <c r="M56" i="12"/>
  <c r="K57" i="12"/>
  <c r="L57" i="12"/>
  <c r="M57" i="12"/>
  <c r="K58" i="12"/>
  <c r="L58" i="12"/>
  <c r="M58" i="12"/>
  <c r="K59" i="12"/>
  <c r="L59" i="12"/>
  <c r="M59" i="12"/>
  <c r="K60" i="12"/>
  <c r="L60" i="12"/>
  <c r="M60" i="12"/>
  <c r="K61" i="12"/>
  <c r="L61" i="12"/>
  <c r="M61" i="12"/>
  <c r="K62" i="12"/>
  <c r="L62" i="12"/>
  <c r="M62" i="12"/>
  <c r="K63" i="12"/>
  <c r="L63" i="12"/>
  <c r="M63" i="12"/>
  <c r="K64" i="12"/>
  <c r="L64" i="12"/>
  <c r="M64" i="12"/>
  <c r="K65" i="12"/>
  <c r="L65" i="12"/>
  <c r="M65" i="12"/>
  <c r="K66" i="12"/>
  <c r="L66" i="12"/>
  <c r="M66" i="12"/>
  <c r="K67" i="12"/>
  <c r="L67" i="12"/>
  <c r="M67" i="12"/>
  <c r="K68" i="12"/>
  <c r="L68" i="12"/>
  <c r="M68" i="12"/>
  <c r="K69" i="12"/>
  <c r="L69" i="12"/>
  <c r="M69" i="12"/>
  <c r="K70" i="12"/>
  <c r="L70" i="12"/>
  <c r="M70" i="12"/>
  <c r="K46" i="13"/>
  <c r="L46" i="13"/>
  <c r="M46" i="13"/>
  <c r="K47" i="13"/>
  <c r="L47" i="13"/>
  <c r="M47" i="13"/>
  <c r="K48" i="13"/>
  <c r="L48" i="13"/>
  <c r="M48" i="13"/>
  <c r="K49" i="13"/>
  <c r="L49" i="13"/>
  <c r="M49" i="13"/>
  <c r="K50" i="13"/>
  <c r="L50" i="13"/>
  <c r="M50" i="13"/>
  <c r="K51" i="13"/>
  <c r="L51" i="13"/>
  <c r="M51" i="13"/>
  <c r="K52" i="13"/>
  <c r="L52" i="13"/>
  <c r="M52" i="13"/>
  <c r="K53" i="13"/>
  <c r="L53" i="13"/>
  <c r="M53" i="13"/>
  <c r="K54" i="13"/>
  <c r="L54" i="13"/>
  <c r="M54" i="13"/>
  <c r="K55" i="13"/>
  <c r="L55" i="13"/>
  <c r="M55" i="13"/>
  <c r="K56" i="13"/>
  <c r="L56" i="13"/>
  <c r="M56" i="13"/>
  <c r="K57" i="13"/>
  <c r="L57" i="13"/>
  <c r="M57" i="13"/>
  <c r="K58" i="13"/>
  <c r="L58" i="13"/>
  <c r="M58" i="13"/>
  <c r="K59" i="13"/>
  <c r="L59" i="13"/>
  <c r="M59" i="13"/>
  <c r="K60" i="13"/>
  <c r="L60" i="13"/>
  <c r="M60" i="13"/>
  <c r="K61" i="13"/>
  <c r="L61" i="13"/>
  <c r="M61" i="13"/>
  <c r="K62" i="13"/>
  <c r="L62" i="13"/>
  <c r="M62" i="13"/>
  <c r="K63" i="13"/>
  <c r="L63" i="13"/>
  <c r="M63" i="13"/>
  <c r="K64" i="13"/>
  <c r="L64" i="13"/>
  <c r="M64" i="13"/>
  <c r="K65" i="13"/>
  <c r="L65" i="13"/>
  <c r="M65" i="13"/>
  <c r="K66" i="13"/>
  <c r="L66" i="13"/>
  <c r="M66" i="13"/>
  <c r="K67" i="13"/>
  <c r="L67" i="13"/>
  <c r="M67" i="13"/>
  <c r="K68" i="13"/>
  <c r="L68" i="13"/>
  <c r="M68" i="13"/>
  <c r="K69" i="13"/>
  <c r="L69" i="13"/>
  <c r="M69" i="13"/>
  <c r="K70" i="13"/>
  <c r="L70" i="13"/>
  <c r="M70" i="13"/>
  <c r="K71" i="13"/>
  <c r="L71" i="13"/>
  <c r="M71" i="13"/>
  <c r="K72" i="13"/>
  <c r="L72" i="13"/>
  <c r="M72" i="13"/>
  <c r="K73" i="13"/>
  <c r="L73" i="13"/>
  <c r="M73" i="13"/>
  <c r="K61" i="2"/>
  <c r="L61" i="2"/>
  <c r="M61" i="2"/>
  <c r="K62" i="2"/>
  <c r="L62" i="2"/>
  <c r="M62" i="2"/>
  <c r="K63" i="2"/>
  <c r="L63" i="2"/>
  <c r="M63" i="2"/>
  <c r="K64" i="2"/>
  <c r="L64" i="2"/>
  <c r="M64" i="2"/>
  <c r="K65" i="2"/>
  <c r="L65" i="2"/>
  <c r="M65" i="2"/>
  <c r="K66" i="2"/>
  <c r="L66" i="2"/>
  <c r="M66" i="2"/>
  <c r="S55" i="1"/>
  <c r="S54" i="1"/>
  <c r="R23" i="1"/>
  <c r="S23" i="1"/>
  <c r="T23" i="1"/>
  <c r="R24" i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R43" i="1"/>
  <c r="S43" i="1"/>
  <c r="T43" i="1"/>
  <c r="R44" i="1"/>
  <c r="S44" i="1"/>
  <c r="T44" i="1"/>
  <c r="R45" i="1"/>
  <c r="S45" i="1"/>
  <c r="T45" i="1"/>
  <c r="R46" i="1"/>
  <c r="S46" i="1"/>
  <c r="T46" i="1"/>
  <c r="R47" i="1"/>
  <c r="S47" i="1"/>
  <c r="T47" i="1"/>
  <c r="R48" i="1"/>
  <c r="S48" i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R53" i="1"/>
  <c r="S53" i="1"/>
  <c r="T53" i="1"/>
  <c r="R54" i="1"/>
  <c r="T54" i="1"/>
  <c r="R55" i="1"/>
  <c r="T55" i="1"/>
  <c r="R56" i="1"/>
  <c r="S56" i="1"/>
  <c r="T56" i="1"/>
  <c r="R57" i="1"/>
  <c r="S57" i="1"/>
  <c r="T57" i="1"/>
  <c r="R58" i="1"/>
  <c r="S58" i="1"/>
  <c r="T58" i="1"/>
  <c r="R59" i="1"/>
  <c r="S59" i="1"/>
  <c r="T59" i="1"/>
  <c r="R60" i="1"/>
  <c r="S60" i="1"/>
  <c r="T60" i="1"/>
  <c r="R61" i="1"/>
  <c r="S61" i="1"/>
  <c r="T61" i="1"/>
  <c r="R62" i="1"/>
  <c r="S62" i="1"/>
  <c r="T62" i="1"/>
  <c r="R63" i="1"/>
  <c r="S63" i="1"/>
  <c r="T63" i="1"/>
  <c r="R64" i="1"/>
  <c r="S64" i="1"/>
  <c r="T64" i="1"/>
  <c r="R65" i="1"/>
  <c r="S65" i="1"/>
  <c r="T65" i="1"/>
  <c r="R66" i="1"/>
  <c r="S66" i="1"/>
  <c r="T66" i="1"/>
  <c r="R67" i="1"/>
  <c r="S67" i="1"/>
  <c r="T67" i="1"/>
  <c r="R68" i="1"/>
  <c r="S68" i="1"/>
  <c r="T68" i="1"/>
  <c r="R69" i="1"/>
  <c r="S69" i="1"/>
  <c r="T69" i="1"/>
  <c r="R70" i="1"/>
  <c r="S70" i="1"/>
  <c r="T70" i="1"/>
  <c r="O73" i="5" l="1"/>
  <c r="O73" i="15"/>
  <c r="O73" i="6"/>
  <c r="O73" i="10"/>
  <c r="O73" i="8"/>
  <c r="O73" i="11"/>
  <c r="O73" i="2"/>
  <c r="O73" i="14"/>
  <c r="O73" i="12"/>
  <c r="O73" i="13"/>
  <c r="O72" i="2"/>
  <c r="O72" i="11"/>
  <c r="O72" i="12"/>
  <c r="O72" i="6"/>
  <c r="O72" i="15"/>
  <c r="O72" i="13"/>
  <c r="O72" i="8"/>
  <c r="O72" i="5"/>
  <c r="O72" i="10"/>
  <c r="O72" i="14"/>
  <c r="O71" i="6"/>
  <c r="O71" i="10"/>
  <c r="O71" i="13"/>
  <c r="O71" i="15"/>
  <c r="O71" i="5"/>
  <c r="O71" i="12"/>
  <c r="O71" i="2"/>
  <c r="O71" i="8"/>
  <c r="O71" i="11"/>
  <c r="O71" i="14"/>
  <c r="O70" i="8"/>
  <c r="O70" i="14"/>
  <c r="O70" i="6"/>
  <c r="O70" i="15"/>
  <c r="O70" i="5"/>
  <c r="O70" i="2"/>
  <c r="O70" i="13"/>
  <c r="O70" i="10"/>
  <c r="O70" i="12"/>
  <c r="O70" i="11"/>
  <c r="O69" i="14"/>
  <c r="O69" i="10"/>
  <c r="O69" i="2"/>
  <c r="O69" i="15"/>
  <c r="O69" i="6"/>
  <c r="O69" i="5"/>
  <c r="O69" i="11"/>
  <c r="O69" i="8"/>
  <c r="O69" i="12"/>
  <c r="O69" i="13"/>
  <c r="O68" i="8"/>
  <c r="O68" i="12"/>
  <c r="O68" i="10"/>
  <c r="O68" i="11"/>
  <c r="O68" i="15"/>
  <c r="O68" i="13"/>
  <c r="O68" i="2"/>
  <c r="O68" i="5"/>
  <c r="O68" i="6"/>
  <c r="O68" i="14"/>
  <c r="O67" i="6"/>
  <c r="O67" i="15"/>
  <c r="O67" i="12"/>
  <c r="O67" i="14"/>
  <c r="O67" i="13"/>
  <c r="O67" i="8"/>
  <c r="O67" i="2"/>
  <c r="O67" i="11"/>
  <c r="O67" i="5"/>
  <c r="O67" i="10"/>
  <c r="O66" i="8"/>
  <c r="O66" i="5"/>
  <c r="O66" i="13"/>
  <c r="O66" i="6"/>
  <c r="O66" i="11"/>
  <c r="O66" i="12"/>
  <c r="O66" i="15"/>
  <c r="O66" i="2"/>
  <c r="O66" i="14"/>
  <c r="O66" i="10"/>
  <c r="O64" i="5"/>
  <c r="O64" i="14"/>
  <c r="O64" i="12"/>
  <c r="O64" i="13"/>
  <c r="O64" i="15"/>
  <c r="O64" i="2"/>
  <c r="O64" i="6"/>
  <c r="O64" i="8"/>
  <c r="O64" i="10"/>
  <c r="O64" i="11"/>
  <c r="O65" i="13"/>
  <c r="O65" i="8"/>
  <c r="O65" i="5"/>
  <c r="O65" i="10"/>
  <c r="O65" i="14"/>
  <c r="O65" i="15"/>
  <c r="O65" i="2"/>
  <c r="O65" i="11"/>
  <c r="O65" i="12"/>
  <c r="O65" i="6"/>
  <c r="O62" i="6"/>
  <c r="O62" i="10"/>
  <c r="O62" i="11"/>
  <c r="O62" i="13"/>
  <c r="O62" i="5"/>
  <c r="O62" i="12"/>
  <c r="O62" i="15"/>
  <c r="O62" i="2"/>
  <c r="O62" i="8"/>
  <c r="O62" i="14"/>
  <c r="O63" i="12"/>
  <c r="O63" i="8"/>
  <c r="O63" i="6"/>
  <c r="O63" i="15"/>
  <c r="O63" i="11"/>
  <c r="O63" i="14"/>
  <c r="O63" i="5"/>
  <c r="O63" i="2"/>
  <c r="O63" i="13"/>
  <c r="O63" i="10"/>
  <c r="O61" i="10"/>
  <c r="O61" i="11"/>
  <c r="O61" i="2"/>
  <c r="O61" i="5"/>
  <c r="O61" i="6"/>
  <c r="O61" i="14"/>
  <c r="O61" i="8"/>
  <c r="O61" i="12"/>
  <c r="O61" i="15"/>
  <c r="O61" i="13"/>
  <c r="O60" i="8"/>
  <c r="O60" i="15"/>
  <c r="O60" i="12"/>
  <c r="O60" i="11"/>
  <c r="O60" i="10"/>
  <c r="O60" i="13"/>
  <c r="O60" i="2"/>
  <c r="O60" i="5"/>
  <c r="O60" i="6"/>
  <c r="O60" i="14"/>
  <c r="O59" i="6"/>
  <c r="O59" i="10"/>
  <c r="O59" i="2"/>
  <c r="O59" i="14"/>
  <c r="O59" i="13"/>
  <c r="O59" i="11"/>
  <c r="O59" i="8"/>
  <c r="O59" i="5"/>
  <c r="O59" i="12"/>
  <c r="O59" i="15"/>
  <c r="O58" i="8"/>
  <c r="O58" i="11"/>
  <c r="O58" i="13"/>
  <c r="O58" i="6"/>
  <c r="O58" i="12"/>
  <c r="O58" i="2"/>
  <c r="O58" i="14"/>
  <c r="O58" i="10"/>
  <c r="O58" i="15"/>
  <c r="O58" i="5"/>
  <c r="O56" i="6"/>
  <c r="O56" i="13"/>
  <c r="O56" i="8"/>
  <c r="O56" i="12"/>
  <c r="O56" i="10"/>
  <c r="O56" i="15"/>
  <c r="O56" i="2"/>
  <c r="O56" i="11"/>
  <c r="O56" i="14"/>
  <c r="O56" i="5"/>
  <c r="O57" i="8"/>
  <c r="O57" i="5"/>
  <c r="O57" i="11"/>
  <c r="O57" i="10"/>
  <c r="O57" i="14"/>
  <c r="O57" i="2"/>
  <c r="O57" i="12"/>
  <c r="O57" i="6"/>
  <c r="O57" i="15"/>
  <c r="O57" i="13"/>
  <c r="O55" i="2"/>
  <c r="O55" i="5"/>
  <c r="O55" i="12"/>
  <c r="O55" i="15"/>
  <c r="O55" i="11"/>
  <c r="O55" i="8"/>
  <c r="O55" i="14"/>
  <c r="O55" i="13"/>
  <c r="O55" i="10"/>
  <c r="O55" i="6"/>
  <c r="O54" i="14"/>
  <c r="O54" i="6"/>
  <c r="O54" i="15"/>
  <c r="O54" i="5"/>
  <c r="O54" i="2"/>
  <c r="O54" i="11"/>
  <c r="O54" i="13"/>
  <c r="O54" i="10"/>
  <c r="O54" i="12"/>
  <c r="O54" i="8"/>
  <c r="O53" i="13"/>
  <c r="O53" i="15"/>
  <c r="O53" i="8"/>
  <c r="O53" i="2"/>
  <c r="O53" i="5"/>
  <c r="O53" i="6"/>
  <c r="O53" i="14"/>
  <c r="O53" i="12"/>
  <c r="O53" i="10"/>
  <c r="O53" i="11"/>
  <c r="O52" i="12"/>
  <c r="O52" i="10"/>
  <c r="O52" i="13"/>
  <c r="O52" i="2"/>
  <c r="O52" i="5"/>
  <c r="O52" i="6"/>
  <c r="O52" i="14"/>
  <c r="O52" i="8"/>
  <c r="O52" i="11"/>
  <c r="O52" i="15"/>
  <c r="O51" i="5"/>
  <c r="O51" i="12"/>
  <c r="O51" i="15"/>
  <c r="O51" i="11"/>
  <c r="O51" i="6"/>
  <c r="O51" i="10"/>
  <c r="O51" i="2"/>
  <c r="O51" i="14"/>
  <c r="O51" i="13"/>
  <c r="O51" i="8"/>
  <c r="O50" i="10"/>
  <c r="O50" i="5"/>
  <c r="O50" i="8"/>
  <c r="O50" i="11"/>
  <c r="O50" i="13"/>
  <c r="O50" i="6"/>
  <c r="O50" i="12"/>
  <c r="O50" i="15"/>
  <c r="O50" i="2"/>
  <c r="O50" i="14"/>
  <c r="O49" i="10"/>
  <c r="O49" i="8"/>
  <c r="O49" i="2"/>
  <c r="O49" i="6"/>
  <c r="O49" i="5"/>
  <c r="O49" i="14"/>
  <c r="O49" i="12"/>
  <c r="O49" i="13"/>
  <c r="O49" i="15"/>
  <c r="O49" i="11"/>
  <c r="O48" i="5"/>
  <c r="O48" i="10"/>
  <c r="O48" i="14"/>
  <c r="O48" i="2"/>
  <c r="O48" i="11"/>
  <c r="O48" i="12"/>
  <c r="O48" i="6"/>
  <c r="O48" i="15"/>
  <c r="O48" i="13"/>
  <c r="O48" i="8"/>
  <c r="O47" i="12"/>
  <c r="O47" i="5"/>
  <c r="O47" i="8"/>
  <c r="O47" i="2"/>
  <c r="O47" i="11"/>
  <c r="O47" i="15"/>
  <c r="O47" i="13"/>
  <c r="O47" i="14"/>
  <c r="O47" i="6"/>
  <c r="O47" i="10"/>
  <c r="O46" i="14"/>
  <c r="O46" i="6"/>
  <c r="O46" i="15"/>
  <c r="O46" i="5"/>
  <c r="O46" i="2"/>
  <c r="O46" i="11"/>
  <c r="O46" i="13"/>
  <c r="O46" i="10"/>
  <c r="O46" i="12"/>
  <c r="O46" i="8"/>
  <c r="O45" i="14"/>
  <c r="O45" i="12"/>
  <c r="O45" i="8"/>
  <c r="O45" i="2"/>
  <c r="O45" i="5"/>
  <c r="O45" i="10"/>
  <c r="O45" i="15"/>
  <c r="O45" i="11"/>
  <c r="O45" i="13"/>
  <c r="O45" i="6"/>
  <c r="O44" i="12"/>
  <c r="O44" i="15"/>
  <c r="O44" i="10"/>
  <c r="O44" i="13"/>
  <c r="O44" i="2"/>
  <c r="O44" i="11"/>
  <c r="O44" i="5"/>
  <c r="O44" i="8"/>
  <c r="O44" i="6"/>
  <c r="O44" i="14"/>
  <c r="O43" i="2"/>
  <c r="O43" i="8"/>
  <c r="O43" i="12"/>
  <c r="O43" i="15"/>
  <c r="O43" i="13"/>
  <c r="O43" i="5"/>
  <c r="O43" i="10"/>
  <c r="O43" i="11"/>
  <c r="O43" i="6"/>
  <c r="O43" i="14"/>
  <c r="O42" i="13"/>
  <c r="O42" i="2"/>
  <c r="O42" i="11"/>
  <c r="O42" i="14"/>
  <c r="O42" i="10"/>
  <c r="O42" i="15"/>
  <c r="O42" i="12"/>
  <c r="O42" i="5"/>
  <c r="O42" i="8"/>
  <c r="O42" i="6"/>
  <c r="O41" i="8"/>
  <c r="O41" i="6"/>
  <c r="O41" i="10"/>
  <c r="O41" i="2"/>
  <c r="O41" i="14"/>
  <c r="O41" i="5"/>
  <c r="O41" i="13"/>
  <c r="O41" i="15"/>
  <c r="O41" i="11"/>
  <c r="O41" i="12"/>
  <c r="O40" i="5"/>
  <c r="O40" i="15"/>
  <c r="O40" i="10"/>
  <c r="O40" i="14"/>
  <c r="O40" i="2"/>
  <c r="O40" i="11"/>
  <c r="O40" i="12"/>
  <c r="O40" i="6"/>
  <c r="O40" i="8"/>
  <c r="O40" i="13"/>
  <c r="O39" i="12"/>
  <c r="O39" i="5"/>
  <c r="O39" i="8"/>
  <c r="O39" i="2"/>
  <c r="O39" i="11"/>
  <c r="O39" i="13"/>
  <c r="O39" i="14"/>
  <c r="O39" i="10"/>
  <c r="O39" i="6"/>
  <c r="O39" i="15"/>
  <c r="O38" i="14"/>
  <c r="O38" i="6"/>
  <c r="O38" i="5"/>
  <c r="O38" i="15"/>
  <c r="O38" i="11"/>
  <c r="O38" i="2"/>
  <c r="O38" i="13"/>
  <c r="O38" i="10"/>
  <c r="O38" i="12"/>
  <c r="O38" i="8"/>
  <c r="O37" i="2"/>
  <c r="O37" i="5"/>
  <c r="O37" i="6"/>
  <c r="O37" i="14"/>
  <c r="O37" i="8"/>
  <c r="O37" i="12"/>
  <c r="O37" i="10"/>
  <c r="O37" i="13"/>
  <c r="O37" i="11"/>
  <c r="O37" i="15"/>
  <c r="O36" i="12"/>
  <c r="O36" i="10"/>
  <c r="O36" i="13"/>
  <c r="O36" i="2"/>
  <c r="O36" i="11"/>
  <c r="O36" i="5"/>
  <c r="O36" i="15"/>
  <c r="O36" i="8"/>
  <c r="O36" i="6"/>
  <c r="O36" i="14"/>
  <c r="O35" i="15"/>
  <c r="O35" i="14"/>
  <c r="O35" i="12"/>
  <c r="O35" i="2"/>
  <c r="O35" i="8"/>
  <c r="O35" i="11"/>
  <c r="O35" i="5"/>
  <c r="O35" i="6"/>
  <c r="O35" i="10"/>
  <c r="O35" i="13"/>
  <c r="O34" i="13"/>
  <c r="O34" i="15"/>
  <c r="O34" i="6"/>
  <c r="O34" i="10"/>
  <c r="O34" i="5"/>
  <c r="O34" i="12"/>
  <c r="O34" i="2"/>
  <c r="O34" i="11"/>
  <c r="O34" i="8"/>
  <c r="O34" i="14"/>
  <c r="O33" i="10"/>
  <c r="O33" i="8"/>
  <c r="O33" i="6"/>
  <c r="O33" i="2"/>
  <c r="O33" i="11"/>
  <c r="O33" i="13"/>
  <c r="O33" i="15"/>
  <c r="O33" i="12"/>
  <c r="O33" i="5"/>
  <c r="O33" i="14"/>
  <c r="O32" i="5"/>
  <c r="O32" i="10"/>
  <c r="O32" i="14"/>
  <c r="O32" i="2"/>
  <c r="O32" i="11"/>
  <c r="O32" i="12"/>
  <c r="O32" i="6"/>
  <c r="O32" i="15"/>
  <c r="O32" i="13"/>
  <c r="O32" i="8"/>
  <c r="O31" i="14"/>
  <c r="O31" i="5"/>
  <c r="O31" i="12"/>
  <c r="O31" i="2"/>
  <c r="O31" i="8"/>
  <c r="O31" i="11"/>
  <c r="O31" i="13"/>
  <c r="O31" i="6"/>
  <c r="O31" i="10"/>
  <c r="O31" i="15"/>
  <c r="O30" i="14"/>
  <c r="O30" i="6"/>
  <c r="O30" i="5"/>
  <c r="O30" i="15"/>
  <c r="O30" i="2"/>
  <c r="O30" i="11"/>
  <c r="O30" i="8"/>
  <c r="O30" i="13"/>
  <c r="O30" i="10"/>
  <c r="O30" i="12"/>
  <c r="O29" i="11"/>
  <c r="O29" i="8"/>
  <c r="O29" i="2"/>
  <c r="O29" i="5"/>
  <c r="O29" i="6"/>
  <c r="O29" i="14"/>
  <c r="O29" i="12"/>
  <c r="O29" i="10"/>
  <c r="O29" i="13"/>
  <c r="O29" i="15"/>
  <c r="O28" i="12"/>
  <c r="O28" i="10"/>
  <c r="O28" i="13"/>
  <c r="O28" i="2"/>
  <c r="O28" i="11"/>
  <c r="O28" i="15"/>
  <c r="O28" i="5"/>
  <c r="O28" i="6"/>
  <c r="O28" i="14"/>
  <c r="O28" i="8"/>
  <c r="O27" i="14"/>
  <c r="O27" i="13"/>
  <c r="O27" i="8"/>
  <c r="O27" i="11"/>
  <c r="O27" i="15"/>
  <c r="O27" i="2"/>
  <c r="O27" i="12"/>
  <c r="O27" i="5"/>
  <c r="O27" i="10"/>
  <c r="O27" i="6"/>
  <c r="O26" i="13"/>
  <c r="O26" i="6"/>
  <c r="O26" i="12"/>
  <c r="O26" i="15"/>
  <c r="O26" i="2"/>
  <c r="O26" i="11"/>
  <c r="O26" i="14"/>
  <c r="O26" i="10"/>
  <c r="O26" i="5"/>
  <c r="O26" i="8"/>
  <c r="O25" i="6"/>
  <c r="O25" i="8"/>
  <c r="O25" i="10"/>
  <c r="O25" i="2"/>
  <c r="O25" i="11"/>
  <c r="O25" i="14"/>
  <c r="O25" i="12"/>
  <c r="O25" i="15"/>
  <c r="O25" i="5"/>
  <c r="O25" i="13"/>
  <c r="O24" i="5"/>
  <c r="O24" i="15"/>
  <c r="O24" i="10"/>
  <c r="O24" i="14"/>
  <c r="O24" i="11"/>
  <c r="O24" i="2"/>
  <c r="O24" i="12"/>
  <c r="O24" i="6"/>
  <c r="O24" i="13"/>
  <c r="O24" i="8"/>
  <c r="O23" i="12"/>
  <c r="O23" i="5"/>
  <c r="O23" i="15"/>
  <c r="O23" i="8"/>
  <c r="O23" i="11"/>
  <c r="O23" i="10"/>
  <c r="O23" i="2"/>
  <c r="O23" i="13"/>
  <c r="O23" i="14"/>
  <c r="O23" i="6"/>
  <c r="K3" i="14"/>
  <c r="K2" i="14"/>
  <c r="K44" i="13"/>
  <c r="K42" i="13"/>
  <c r="K40" i="13"/>
  <c r="K38" i="13"/>
  <c r="K37" i="13"/>
  <c r="K36" i="13"/>
  <c r="K29" i="13"/>
  <c r="K25" i="13"/>
  <c r="K22" i="13"/>
  <c r="K21" i="13"/>
  <c r="K20" i="13"/>
  <c r="K17" i="13"/>
  <c r="K16" i="13"/>
  <c r="K14" i="13"/>
  <c r="K13" i="13"/>
  <c r="K10" i="13"/>
  <c r="K9" i="13"/>
  <c r="K8" i="13"/>
  <c r="K6" i="13"/>
  <c r="K4" i="13"/>
  <c r="K2" i="13"/>
  <c r="K3" i="12"/>
  <c r="K2" i="12"/>
  <c r="K2" i="11"/>
  <c r="K3" i="10"/>
  <c r="K3" i="15"/>
  <c r="K2" i="15"/>
  <c r="M3" i="15"/>
  <c r="L3" i="15"/>
  <c r="M2" i="15"/>
  <c r="L2" i="15"/>
  <c r="M3" i="14"/>
  <c r="L3" i="14"/>
  <c r="M2" i="14"/>
  <c r="L2" i="14"/>
  <c r="M45" i="13"/>
  <c r="L45" i="13"/>
  <c r="K45" i="13"/>
  <c r="M44" i="13"/>
  <c r="L44" i="13"/>
  <c r="M43" i="13"/>
  <c r="L43" i="13"/>
  <c r="K43" i="13"/>
  <c r="M42" i="13"/>
  <c r="L42" i="13"/>
  <c r="M41" i="13"/>
  <c r="L41" i="13"/>
  <c r="K41" i="13"/>
  <c r="M40" i="13"/>
  <c r="L40" i="13"/>
  <c r="M39" i="13"/>
  <c r="L39" i="13"/>
  <c r="K39" i="13"/>
  <c r="M38" i="13"/>
  <c r="L38" i="13"/>
  <c r="M37" i="13"/>
  <c r="L37" i="13"/>
  <c r="M36" i="13"/>
  <c r="L36" i="13"/>
  <c r="M35" i="13"/>
  <c r="L35" i="13"/>
  <c r="K35" i="13"/>
  <c r="M34" i="13"/>
  <c r="L34" i="13"/>
  <c r="K34" i="13"/>
  <c r="M33" i="13"/>
  <c r="L33" i="13"/>
  <c r="K33" i="13"/>
  <c r="M32" i="13"/>
  <c r="L32" i="13"/>
  <c r="K32" i="13"/>
  <c r="M31" i="13"/>
  <c r="L31" i="13"/>
  <c r="K31" i="13"/>
  <c r="M30" i="13"/>
  <c r="L30" i="13"/>
  <c r="K30" i="13"/>
  <c r="M29" i="13"/>
  <c r="L29" i="13"/>
  <c r="M28" i="13"/>
  <c r="L28" i="13"/>
  <c r="K28" i="13"/>
  <c r="M27" i="13"/>
  <c r="L27" i="13"/>
  <c r="K27" i="13"/>
  <c r="M26" i="13"/>
  <c r="L26" i="13"/>
  <c r="K26" i="13"/>
  <c r="M25" i="13"/>
  <c r="L25" i="13"/>
  <c r="M24" i="13"/>
  <c r="L24" i="13"/>
  <c r="K24" i="13"/>
  <c r="M23" i="13"/>
  <c r="L23" i="13"/>
  <c r="K23" i="13"/>
  <c r="M22" i="13"/>
  <c r="L22" i="13"/>
  <c r="M21" i="13"/>
  <c r="L21" i="13"/>
  <c r="M20" i="13"/>
  <c r="L20" i="13"/>
  <c r="M19" i="13"/>
  <c r="L19" i="13"/>
  <c r="K19" i="13"/>
  <c r="M18" i="13"/>
  <c r="L18" i="13"/>
  <c r="K18" i="13"/>
  <c r="M17" i="13"/>
  <c r="L17" i="13"/>
  <c r="M16" i="13"/>
  <c r="L16" i="13"/>
  <c r="M15" i="13"/>
  <c r="L15" i="13"/>
  <c r="K15" i="13"/>
  <c r="M14" i="13"/>
  <c r="L14" i="13"/>
  <c r="M13" i="13"/>
  <c r="L13" i="13"/>
  <c r="M12" i="13"/>
  <c r="L12" i="13"/>
  <c r="K12" i="13"/>
  <c r="M11" i="13"/>
  <c r="L11" i="13"/>
  <c r="K11" i="13"/>
  <c r="M10" i="13"/>
  <c r="L10" i="13"/>
  <c r="M9" i="13"/>
  <c r="L9" i="13"/>
  <c r="M8" i="13"/>
  <c r="L8" i="13"/>
  <c r="M7" i="13"/>
  <c r="L7" i="13"/>
  <c r="K7" i="13"/>
  <c r="M6" i="13"/>
  <c r="L6" i="13"/>
  <c r="M5" i="13"/>
  <c r="L5" i="13"/>
  <c r="K5" i="13"/>
  <c r="M4" i="13"/>
  <c r="L4" i="13"/>
  <c r="M3" i="13"/>
  <c r="L3" i="13"/>
  <c r="K3" i="13"/>
  <c r="M2" i="13"/>
  <c r="L2" i="13"/>
  <c r="M3" i="12"/>
  <c r="L3" i="12"/>
  <c r="M2" i="12"/>
  <c r="L2" i="12"/>
  <c r="M3" i="11"/>
  <c r="L3" i="11"/>
  <c r="K3" i="11"/>
  <c r="M2" i="11"/>
  <c r="L2" i="11"/>
  <c r="M3" i="10"/>
  <c r="L3" i="10"/>
  <c r="M2" i="10"/>
  <c r="L2" i="10"/>
  <c r="K2" i="10"/>
  <c r="K20" i="1" l="1"/>
  <c r="H20" i="1" s="1"/>
  <c r="I9" i="12"/>
  <c r="I8" i="12"/>
  <c r="I7" i="12"/>
  <c r="I11" i="12"/>
  <c r="I10" i="12"/>
  <c r="I11" i="5"/>
  <c r="I10" i="5"/>
  <c r="I9" i="5"/>
  <c r="I8" i="5"/>
  <c r="K14" i="1"/>
  <c r="H14" i="1" s="1"/>
  <c r="I7" i="5"/>
  <c r="I11" i="8"/>
  <c r="K16" i="1"/>
  <c r="H16" i="1" s="1"/>
  <c r="I10" i="8"/>
  <c r="I9" i="8"/>
  <c r="I8" i="8"/>
  <c r="I7" i="8"/>
  <c r="I7" i="15"/>
  <c r="I11" i="15"/>
  <c r="I10" i="15"/>
  <c r="I9" i="15"/>
  <c r="K13" i="1"/>
  <c r="H13" i="1" s="1"/>
  <c r="I8" i="15"/>
  <c r="K19" i="1"/>
  <c r="H19" i="1" s="1"/>
  <c r="I11" i="13"/>
  <c r="I10" i="13"/>
  <c r="I9" i="13"/>
  <c r="I8" i="13"/>
  <c r="I7" i="13"/>
  <c r="I8" i="6"/>
  <c r="I7" i="6"/>
  <c r="K17" i="1"/>
  <c r="H17" i="1" s="1"/>
  <c r="I11" i="6"/>
  <c r="I10" i="6"/>
  <c r="I9" i="6"/>
  <c r="I11" i="14"/>
  <c r="I10" i="14"/>
  <c r="I9" i="14"/>
  <c r="I8" i="14"/>
  <c r="I7" i="14"/>
  <c r="K15" i="1"/>
  <c r="H15" i="1" s="1"/>
  <c r="K12" i="1"/>
  <c r="H12" i="1" s="1"/>
  <c r="I10" i="11"/>
  <c r="I9" i="11"/>
  <c r="I8" i="11"/>
  <c r="I7" i="11"/>
  <c r="I11" i="11"/>
  <c r="I11" i="10"/>
  <c r="K18" i="1"/>
  <c r="H18" i="1" s="1"/>
  <c r="I10" i="10"/>
  <c r="I9" i="10"/>
  <c r="I8" i="10"/>
  <c r="I7" i="10"/>
  <c r="I10" i="2"/>
  <c r="K11" i="1"/>
  <c r="H11" i="1" s="1"/>
  <c r="I9" i="2"/>
  <c r="I8" i="2"/>
  <c r="I7" i="2"/>
  <c r="I11" i="2"/>
  <c r="R5" i="1" l="1"/>
  <c r="R6" i="1"/>
  <c r="R7" i="1"/>
  <c r="K48" i="2" l="1"/>
  <c r="L48" i="2"/>
  <c r="M48" i="2"/>
  <c r="K49" i="2"/>
  <c r="L49" i="2"/>
  <c r="M49" i="2"/>
  <c r="K50" i="2"/>
  <c r="L50" i="2"/>
  <c r="M50" i="2"/>
  <c r="K51" i="2"/>
  <c r="L51" i="2"/>
  <c r="M51" i="2"/>
  <c r="K52" i="2"/>
  <c r="L52" i="2"/>
  <c r="M52" i="2"/>
  <c r="K53" i="2"/>
  <c r="L53" i="2"/>
  <c r="M53" i="2"/>
  <c r="K54" i="2"/>
  <c r="L54" i="2"/>
  <c r="M54" i="2"/>
  <c r="K55" i="2"/>
  <c r="L55" i="2"/>
  <c r="M55" i="2"/>
  <c r="K56" i="2"/>
  <c r="L56" i="2"/>
  <c r="M56" i="2"/>
  <c r="K57" i="2"/>
  <c r="L57" i="2"/>
  <c r="M57" i="2"/>
  <c r="K58" i="2"/>
  <c r="L58" i="2"/>
  <c r="M58" i="2"/>
  <c r="K59" i="2"/>
  <c r="L59" i="2"/>
  <c r="M59" i="2"/>
  <c r="K60" i="2"/>
  <c r="L60" i="2"/>
  <c r="M60" i="2"/>
  <c r="L2" i="5" l="1"/>
  <c r="M4" i="8" l="1"/>
  <c r="L4" i="8"/>
  <c r="K4" i="8"/>
  <c r="M3" i="8"/>
  <c r="L3" i="8"/>
  <c r="K3" i="8"/>
  <c r="M2" i="8"/>
  <c r="L2" i="8"/>
  <c r="K2" i="8"/>
  <c r="M3" i="6"/>
  <c r="L3" i="6"/>
  <c r="K3" i="6"/>
  <c r="M2" i="6"/>
  <c r="L2" i="6"/>
  <c r="K2" i="6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M2" i="2"/>
  <c r="L2" i="2"/>
  <c r="K2" i="2"/>
  <c r="M3" i="5"/>
  <c r="L3" i="5"/>
  <c r="K3" i="5"/>
  <c r="M2" i="5"/>
  <c r="K2" i="5"/>
  <c r="R3" i="1"/>
  <c r="S3" i="1"/>
  <c r="T3" i="1"/>
  <c r="R4" i="1"/>
  <c r="S4" i="1"/>
  <c r="T4" i="1"/>
  <c r="S5" i="1"/>
  <c r="T5" i="1"/>
  <c r="S6" i="1"/>
  <c r="T6" i="1"/>
  <c r="S7" i="1"/>
  <c r="T7" i="1"/>
  <c r="R8" i="1"/>
  <c r="S8" i="1"/>
  <c r="T8" i="1"/>
  <c r="R9" i="1"/>
  <c r="S9" i="1"/>
  <c r="T9" i="1"/>
  <c r="R10" i="1"/>
  <c r="S10" i="1"/>
  <c r="T10" i="1"/>
  <c r="R11" i="1"/>
  <c r="S11" i="1"/>
  <c r="T11" i="1"/>
  <c r="R12" i="1"/>
  <c r="S12" i="1"/>
  <c r="T12" i="1"/>
  <c r="R13" i="1"/>
  <c r="S13" i="1"/>
  <c r="T13" i="1"/>
  <c r="R14" i="1"/>
  <c r="S14" i="1"/>
  <c r="T14" i="1"/>
  <c r="R15" i="1"/>
  <c r="S15" i="1"/>
  <c r="T15" i="1"/>
  <c r="R16" i="1"/>
  <c r="S16" i="1"/>
  <c r="T16" i="1"/>
  <c r="R17" i="1"/>
  <c r="S17" i="1"/>
  <c r="T17" i="1"/>
  <c r="R18" i="1"/>
  <c r="S18" i="1"/>
  <c r="T18" i="1"/>
  <c r="R19" i="1"/>
  <c r="S19" i="1"/>
  <c r="T19" i="1"/>
  <c r="R20" i="1"/>
  <c r="S20" i="1"/>
  <c r="T20" i="1"/>
  <c r="R21" i="1"/>
  <c r="S21" i="1"/>
  <c r="T21" i="1"/>
  <c r="R22" i="1"/>
  <c r="S22" i="1"/>
  <c r="T22" i="1"/>
  <c r="T2" i="1"/>
  <c r="S2" i="1"/>
  <c r="R2" i="1"/>
  <c r="O22" i="14" l="1"/>
  <c r="O22" i="6"/>
  <c r="O22" i="5"/>
  <c r="O22" i="2"/>
  <c r="O22" i="11"/>
  <c r="O22" i="15"/>
  <c r="O22" i="13"/>
  <c r="O22" i="10"/>
  <c r="O22" i="12"/>
  <c r="O22" i="8"/>
  <c r="O2" i="15"/>
  <c r="O2" i="12"/>
  <c r="O2" i="14"/>
  <c r="O2" i="11"/>
  <c r="O2" i="13"/>
  <c r="O2" i="10"/>
  <c r="O2" i="6"/>
  <c r="O2" i="2"/>
  <c r="O2" i="5"/>
  <c r="O2" i="8"/>
  <c r="J9" i="15" l="1"/>
  <c r="J11" i="15"/>
  <c r="J7" i="15"/>
  <c r="J10" i="15"/>
  <c r="J8" i="15"/>
  <c r="J9" i="14"/>
  <c r="J11" i="14"/>
  <c r="J10" i="14"/>
  <c r="J7" i="14"/>
  <c r="J8" i="14"/>
  <c r="J7" i="10"/>
  <c r="J9" i="10"/>
  <c r="J11" i="10"/>
  <c r="J8" i="10"/>
  <c r="J10" i="10"/>
  <c r="J10" i="12"/>
  <c r="J8" i="12"/>
  <c r="J7" i="12"/>
  <c r="J11" i="12"/>
  <c r="J9" i="12"/>
  <c r="J7" i="13"/>
  <c r="J9" i="13"/>
  <c r="J10" i="13"/>
  <c r="J8" i="13"/>
  <c r="J11" i="13"/>
  <c r="J11" i="11"/>
  <c r="J10" i="11"/>
  <c r="J8" i="11"/>
  <c r="J7" i="11"/>
  <c r="J9" i="11"/>
  <c r="J7" i="2"/>
  <c r="J11" i="2"/>
  <c r="J8" i="2"/>
  <c r="J9" i="2"/>
  <c r="J10" i="2"/>
  <c r="J11" i="5"/>
  <c r="J10" i="5"/>
  <c r="J7" i="5"/>
  <c r="J9" i="5"/>
  <c r="J8" i="5"/>
  <c r="J11" i="8"/>
  <c r="J9" i="8"/>
  <c r="J8" i="8"/>
  <c r="J7" i="8"/>
  <c r="J10" i="8"/>
  <c r="J11" i="6"/>
  <c r="J10" i="6"/>
  <c r="J8" i="6"/>
  <c r="J7" i="6"/>
  <c r="J9" i="6"/>
  <c r="Q13" i="1" l="1"/>
  <c r="J12" i="15"/>
  <c r="Q19" i="1"/>
  <c r="Q18" i="1"/>
  <c r="Q11" i="1"/>
  <c r="Q17" i="1"/>
  <c r="Q16" i="1"/>
  <c r="Q12" i="1"/>
  <c r="Q14" i="1"/>
  <c r="Q20" i="1"/>
  <c r="Q15" i="1"/>
  <c r="J12" i="11"/>
  <c r="J12" i="13"/>
  <c r="J12" i="14"/>
  <c r="J12" i="10"/>
  <c r="J12" i="12"/>
  <c r="J12" i="6"/>
  <c r="J12" i="8"/>
  <c r="J12" i="5"/>
  <c r="J12" i="2"/>
  <c r="I16" i="1" l="1"/>
  <c r="I11" i="1"/>
  <c r="I17" i="1"/>
  <c r="I14" i="1"/>
  <c r="I18" i="1"/>
  <c r="I15" i="1"/>
  <c r="I12" i="1"/>
  <c r="I20" i="1"/>
  <c r="I19" i="1"/>
  <c r="I13" i="1"/>
</calcChain>
</file>

<file path=xl/sharedStrings.xml><?xml version="1.0" encoding="utf-8"?>
<sst xmlns="http://schemas.openxmlformats.org/spreadsheetml/2006/main" count="4128" uniqueCount="167">
  <si>
    <t>Rússia</t>
  </si>
  <si>
    <t>x</t>
  </si>
  <si>
    <t>Arábia Saudita</t>
  </si>
  <si>
    <t>Uruguai</t>
  </si>
  <si>
    <t>Marrocos</t>
  </si>
  <si>
    <t>Portugal</t>
  </si>
  <si>
    <t>Espanha</t>
  </si>
  <si>
    <t>França</t>
  </si>
  <si>
    <t>Austrália</t>
  </si>
  <si>
    <t>Argentina</t>
  </si>
  <si>
    <t>Croácia</t>
  </si>
  <si>
    <t>Brasil</t>
  </si>
  <si>
    <t>Alemanha</t>
  </si>
  <si>
    <t>México</t>
  </si>
  <si>
    <t>Suécia</t>
  </si>
  <si>
    <t>Coréia do Sul</t>
  </si>
  <si>
    <t>Bélgica</t>
  </si>
  <si>
    <t>Tunísia</t>
  </si>
  <si>
    <t>Inglaterra</t>
  </si>
  <si>
    <t>Japão</t>
  </si>
  <si>
    <t>Senegal</t>
  </si>
  <si>
    <t>Bernardo</t>
  </si>
  <si>
    <t>Marcio</t>
  </si>
  <si>
    <t>Renan</t>
  </si>
  <si>
    <t>Posição</t>
  </si>
  <si>
    <t>Phibriano</t>
  </si>
  <si>
    <t>BERNARDO</t>
  </si>
  <si>
    <t>MARCIO</t>
  </si>
  <si>
    <t>RENAN</t>
  </si>
  <si>
    <t>Vencedor da Partida</t>
  </si>
  <si>
    <t>Score Vencedor</t>
  </si>
  <si>
    <t>Score Perdedor</t>
  </si>
  <si>
    <t>Palpite do Vencedor da Partida</t>
  </si>
  <si>
    <t>Pontos Ganhos</t>
  </si>
  <si>
    <t>OFICIAL</t>
  </si>
  <si>
    <t>9 PONTOS</t>
  </si>
  <si>
    <t>6 PONTOS</t>
  </si>
  <si>
    <t>4 PONTOS</t>
  </si>
  <si>
    <t>3 PONTOS</t>
  </si>
  <si>
    <t>RUMO AO HEXA!</t>
  </si>
  <si>
    <t>VENCEDOR COM APENAS O NÚMERO DE GOLS DO PERDEDOR CORRETO</t>
  </si>
  <si>
    <t>0 PONTOS</t>
  </si>
  <si>
    <t>ERROU O VENCEDOR OU ERROU O JOGO QUE FOI EMPATE</t>
  </si>
  <si>
    <t>LEGENDA</t>
  </si>
  <si>
    <t>PONTOS</t>
  </si>
  <si>
    <t>QTD</t>
  </si>
  <si>
    <t>TOTAL</t>
  </si>
  <si>
    <t>VENCEDOR COM AMBOS OS NÚMERO DE GOLS ERRADO</t>
  </si>
  <si>
    <t>VENCEDOR COM APENAS O NÚMERO DE GOLS DO VENCEDOR CORRETO OU EMPATE COM O NÚMERO DE GOLS ERRADO</t>
  </si>
  <si>
    <t>Pontos</t>
  </si>
  <si>
    <t>MAIOR NÚMERO DE JOGOS COM 9 PONTOS</t>
  </si>
  <si>
    <t>MAIOR NÚMERO DE JOGOS COM 6 PONTOS</t>
  </si>
  <si>
    <t>MAIOR NÚMERO DE JOGOS COM 4 PONTOS</t>
  </si>
  <si>
    <t>MAIOR NÚMERO DE JOGOS COM 3 PONTOS</t>
  </si>
  <si>
    <t>SORTEIO</t>
  </si>
  <si>
    <t>CRITÉRIOS DE DESEMPATE</t>
  </si>
  <si>
    <t>JOGOS</t>
  </si>
  <si>
    <t>BRASIL</t>
  </si>
  <si>
    <t>Ano</t>
  </si>
  <si>
    <t>Anfitrião</t>
  </si>
  <si>
    <t>Campeão</t>
  </si>
  <si>
    <t>Placar</t>
  </si>
  <si>
    <t>Vice-campeão</t>
  </si>
  <si>
    <t>ALEMANHA</t>
  </si>
  <si>
    <t>ITÁLIA</t>
  </si>
  <si>
    <t>Itália</t>
  </si>
  <si>
    <t>2-1 (PRO)</t>
  </si>
  <si>
    <t>Checoslováquia</t>
  </si>
  <si>
    <t>URUGUAI</t>
  </si>
  <si>
    <t>Hungria</t>
  </si>
  <si>
    <t>ARGENTINA</t>
  </si>
  <si>
    <t>INGLATERRA</t>
  </si>
  <si>
    <t>Suíça</t>
  </si>
  <si>
    <t>Alemanha Ocidental</t>
  </si>
  <si>
    <t>FRANÇA</t>
  </si>
  <si>
    <t>ESPANHA</t>
  </si>
  <si>
    <t>Chile</t>
  </si>
  <si>
    <t>4-2 (PRO)</t>
  </si>
  <si>
    <t>Holanda</t>
  </si>
  <si>
    <t>3-1 (PRO)</t>
  </si>
  <si>
    <t> Alemanha Ocidental</t>
  </si>
  <si>
    <t>1-0</t>
  </si>
  <si>
    <t>EUA</t>
  </si>
  <si>
    <t>0-0 (3-2 P)</t>
  </si>
  <si>
    <t>3-0</t>
  </si>
  <si>
    <t>Japão e Coreia do Sul</t>
  </si>
  <si>
    <t>2-0</t>
  </si>
  <si>
    <t>1-1 (5-3 P)</t>
  </si>
  <si>
    <t>África do Sul</t>
  </si>
  <si>
    <t>1-0 (PRO)</t>
  </si>
  <si>
    <t>PALPITES</t>
  </si>
  <si>
    <t>THIAGO</t>
  </si>
  <si>
    <t>Fernando</t>
  </si>
  <si>
    <t>Gabriel</t>
  </si>
  <si>
    <t>Thiago</t>
  </si>
  <si>
    <t>Marques</t>
  </si>
  <si>
    <t>Soares</t>
  </si>
  <si>
    <t>Catar</t>
  </si>
  <si>
    <t>FERNANDO</t>
  </si>
  <si>
    <t>GABRIEL</t>
  </si>
  <si>
    <t>MARQUES</t>
  </si>
  <si>
    <t>SOARES</t>
  </si>
  <si>
    <t>Equador</t>
  </si>
  <si>
    <t>Irã</t>
  </si>
  <si>
    <t>Estados Unidos</t>
  </si>
  <si>
    <t>Canadá</t>
  </si>
  <si>
    <t>Gana</t>
  </si>
  <si>
    <t>VENCEDOR COM PLACAR CORRETO OU EMPATE COM PLACAR CORRETO</t>
  </si>
  <si>
    <t>Copa Phibra 2026</t>
  </si>
  <si>
    <t>Ricardo</t>
  </si>
  <si>
    <t>Gustavo</t>
  </si>
  <si>
    <t>República Tcheca</t>
  </si>
  <si>
    <t>Bósnia</t>
  </si>
  <si>
    <t>Haiti</t>
  </si>
  <si>
    <t>Escócia</t>
  </si>
  <si>
    <t>Paraguai</t>
  </si>
  <si>
    <t>Turquia</t>
  </si>
  <si>
    <t>Curaçao</t>
  </si>
  <si>
    <t>Costa do Marfim</t>
  </si>
  <si>
    <t>Egito</t>
  </si>
  <si>
    <t>Nova Zelândia</t>
  </si>
  <si>
    <t>Cabo Verde</t>
  </si>
  <si>
    <t>Iraque</t>
  </si>
  <si>
    <t>Noruega</t>
  </si>
  <si>
    <t>Argélia</t>
  </si>
  <si>
    <t>Áustria</t>
  </si>
  <si>
    <t>Jordânia</t>
  </si>
  <si>
    <t>RD Congo</t>
  </si>
  <si>
    <t>Uzbequistão</t>
  </si>
  <si>
    <t>Colômbia</t>
  </si>
  <si>
    <t>Panamá</t>
  </si>
  <si>
    <t>GUSTAVO</t>
  </si>
  <si>
    <t>RICARDO</t>
  </si>
  <si>
    <t>Venc. Segunda Fase 1</t>
  </si>
  <si>
    <t>Venc. Segunda Fase 2</t>
  </si>
  <si>
    <t>Venc. Segunda Fase 3</t>
  </si>
  <si>
    <t>Venc. Segunda Fase 5</t>
  </si>
  <si>
    <t>Venc. Segunda Fase 7</t>
  </si>
  <si>
    <t>Venc. Segunda Fase 9</t>
  </si>
  <si>
    <t>Venc. Segunda Fase 11</t>
  </si>
  <si>
    <t>Venc. Segunda Fase 13</t>
  </si>
  <si>
    <t>Venc. Segunda Fase 15</t>
  </si>
  <si>
    <t>Venc. Segunda Fase 4</t>
  </si>
  <si>
    <t>Venc. Segunda Fase 6</t>
  </si>
  <si>
    <t>Venc. Segunda Fase 8</t>
  </si>
  <si>
    <t>Venc. Segunda Fase 10</t>
  </si>
  <si>
    <t>Venc. Segunda Fase 12</t>
  </si>
  <si>
    <t>Venc. Segunda Fase 14</t>
  </si>
  <si>
    <t>Venc. Segunda Fase 16</t>
  </si>
  <si>
    <t>Venc. Oitavas 1</t>
  </si>
  <si>
    <t>Venc. Oitavas 2</t>
  </si>
  <si>
    <t>Venc. Oitavas 3</t>
  </si>
  <si>
    <t>Venc. Oitavas 5</t>
  </si>
  <si>
    <t>Venc. Oitavas 7</t>
  </si>
  <si>
    <t>Venc. Oitavas 4</t>
  </si>
  <si>
    <t>Venc. Oitavas 6</t>
  </si>
  <si>
    <t>Venc. Oitavas 8</t>
  </si>
  <si>
    <t>Venc. Quartas 1</t>
  </si>
  <si>
    <t>Venc. Quartas 2</t>
  </si>
  <si>
    <t>Venc. Quartas 3</t>
  </si>
  <si>
    <t>Venc. Quartas 4</t>
  </si>
  <si>
    <t>Perd. Semifinal 1</t>
  </si>
  <si>
    <t>Perd. Semifinal 2</t>
  </si>
  <si>
    <t>Venc. Semifinal 1</t>
  </si>
  <si>
    <t>Venc. Semifinal 2</t>
  </si>
  <si>
    <t>Canadá, EUA e México</t>
  </si>
  <si>
    <t>3-3 (4-2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</si>
</sst>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4" x14ac:knownFonts="1">
    <font>
      <sz val="11"/>
      <color theme="1"/>
      <name val="Calibri"/>
      <family val="2"/>
      <scheme val="minor"/>
    </font>
    <font>
      <sz val="11"/>
      <color rgb="FF5A5A5A"/>
      <name val="Arial"/>
      <family val="2"/>
    </font>
    <font>
      <b/>
      <sz val="14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sz val="26"/>
      <color rgb="FFFFFF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081F2C"/>
      <name val="Arial"/>
      <family val="2"/>
    </font>
    <font>
      <b/>
      <sz val="11"/>
      <color rgb="FFFFFFFF"/>
      <name val="Arial"/>
      <family val="2"/>
    </font>
    <font>
      <b/>
      <sz val="11"/>
      <color rgb="FF081F2C"/>
      <name val="Arial"/>
      <family val="2"/>
    </font>
    <font>
      <sz val="12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rgb="FF5A5A5A"/>
      <name val="Arial"/>
      <family val="2"/>
    </font>
    <font>
      <b/>
      <sz val="11"/>
      <color rgb="FF5A5A5A"/>
      <name val="Arial"/>
      <family val="2"/>
    </font>
    <font>
      <sz val="11"/>
      <color theme="1"/>
      <name val="Calibri"/>
      <family val="2"/>
      <charset val="1"/>
    </font>
    <font>
      <sz val="11"/>
      <color rgb="FF5A5A5A"/>
      <name val="Arial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A9CE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89013336588644"/>
        <bgColor rgb="FFDEEBF7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rgb="FFCCCCCC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2">
    <xf numFmtId="0" fontId="0" fillId="0" borderId="0"/>
    <xf numFmtId="0" fontId="22" fillId="0" borderId="0"/>
  </cellStyleXfs>
  <cellXfs count="147">
    <xf numFmtId="0" fontId="0" fillId="0" borderId="0" xfId="0"/>
    <xf numFmtId="0" fontId="0" fillId="4" borderId="0" xfId="0" applyFill="1"/>
    <xf numFmtId="0" fontId="2" fillId="3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3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0" fillId="8" borderId="2" xfId="0" applyFill="1" applyBorder="1"/>
    <xf numFmtId="0" fontId="0" fillId="5" borderId="2" xfId="0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9" borderId="0" xfId="0" applyFill="1" applyAlignment="1">
      <alignment horizontal="center"/>
    </xf>
    <xf numFmtId="0" fontId="8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10" fillId="8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10" fillId="8" borderId="18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12" fillId="10" borderId="27" xfId="0" applyFont="1" applyFill="1" applyBorder="1" applyAlignment="1">
      <alignment horizontal="center" vertical="center" wrapText="1"/>
    </xf>
    <xf numFmtId="0" fontId="12" fillId="10" borderId="28" xfId="0" applyFont="1" applyFill="1" applyBorder="1" applyAlignment="1">
      <alignment horizontal="center" vertical="center" wrapText="1"/>
    </xf>
    <xf numFmtId="0" fontId="12" fillId="10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16" fontId="11" fillId="2" borderId="30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1" fillId="4" borderId="0" xfId="0" applyFont="1" applyFill="1" applyAlignment="1">
      <alignment horizontal="center" vertical="center" wrapText="1"/>
    </xf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1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14" fontId="1" fillId="12" borderId="1" xfId="0" applyNumberFormat="1" applyFont="1" applyFill="1" applyBorder="1" applyAlignment="1">
      <alignment horizontal="center" vertical="center"/>
    </xf>
    <xf numFmtId="20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14" fontId="1" fillId="12" borderId="31" xfId="0" applyNumberFormat="1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left" vertical="center"/>
    </xf>
    <xf numFmtId="0" fontId="1" fillId="12" borderId="31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vertical="center"/>
    </xf>
    <xf numFmtId="14" fontId="1" fillId="13" borderId="1" xfId="0" applyNumberFormat="1" applyFont="1" applyFill="1" applyBorder="1" applyAlignment="1">
      <alignment horizontal="center" vertical="center"/>
    </xf>
    <xf numFmtId="20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/>
    </xf>
    <xf numFmtId="20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horizontal="center" vertical="center"/>
    </xf>
    <xf numFmtId="14" fontId="1" fillId="15" borderId="1" xfId="0" applyNumberFormat="1" applyFont="1" applyFill="1" applyBorder="1" applyAlignment="1">
      <alignment horizontal="center" vertical="center"/>
    </xf>
    <xf numFmtId="20" fontId="1" fillId="15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14" fontId="1" fillId="16" borderId="1" xfId="0" applyNumberFormat="1" applyFont="1" applyFill="1" applyBorder="1" applyAlignment="1">
      <alignment horizontal="center" vertical="center"/>
    </xf>
    <xf numFmtId="20" fontId="1" fillId="16" borderId="1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horizontal="center" vertical="center"/>
    </xf>
    <xf numFmtId="14" fontId="1" fillId="17" borderId="1" xfId="0" applyNumberFormat="1" applyFont="1" applyFill="1" applyBorder="1" applyAlignment="1">
      <alignment horizontal="center" vertical="center"/>
    </xf>
    <xf numFmtId="20" fontId="1" fillId="17" borderId="1" xfId="0" applyNumberFormat="1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vertical="center"/>
    </xf>
    <xf numFmtId="0" fontId="1" fillId="17" borderId="1" xfId="0" applyFont="1" applyFill="1" applyBorder="1" applyAlignment="1">
      <alignment horizontal="center" vertical="center"/>
    </xf>
    <xf numFmtId="14" fontId="1" fillId="18" borderId="1" xfId="0" applyNumberFormat="1" applyFont="1" applyFill="1" applyBorder="1" applyAlignment="1">
      <alignment horizontal="center" vertical="center"/>
    </xf>
    <xf numFmtId="20" fontId="1" fillId="18" borderId="1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vertical="center"/>
    </xf>
    <xf numFmtId="0" fontId="1" fillId="18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6" borderId="32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19" borderId="0" xfId="0" applyFill="1"/>
    <xf numFmtId="0" fontId="1" fillId="19" borderId="0" xfId="0" applyFont="1" applyFill="1" applyAlignment="1">
      <alignment horizontal="left" vertical="center"/>
    </xf>
    <xf numFmtId="0" fontId="1" fillId="19" borderId="0" xfId="0" applyFont="1" applyFill="1" applyAlignment="1">
      <alignment horizontal="center" vertical="center"/>
    </xf>
    <xf numFmtId="0" fontId="19" fillId="19" borderId="0" xfId="0" applyFont="1" applyFill="1" applyAlignment="1">
      <alignment vertical="center"/>
    </xf>
    <xf numFmtId="0" fontId="4" fillId="19" borderId="0" xfId="0" applyFont="1" applyFill="1" applyAlignment="1">
      <alignment vertical="center"/>
    </xf>
    <xf numFmtId="0" fontId="20" fillId="12" borderId="1" xfId="0" applyFont="1" applyFill="1" applyBorder="1" applyAlignment="1">
      <alignment horizontal="center" vertical="center"/>
    </xf>
    <xf numFmtId="7" fontId="18" fillId="0" borderId="0" xfId="0" applyNumberFormat="1" applyFont="1" applyAlignment="1">
      <alignment horizontal="center"/>
    </xf>
    <xf numFmtId="14" fontId="21" fillId="18" borderId="1" xfId="0" applyNumberFormat="1" applyFont="1" applyFill="1" applyBorder="1" applyAlignment="1">
      <alignment horizontal="center" vertical="center"/>
    </xf>
    <xf numFmtId="20" fontId="21" fillId="18" borderId="1" xfId="0" applyNumberFormat="1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left" vertical="center"/>
    </xf>
    <xf numFmtId="0" fontId="21" fillId="18" borderId="1" xfId="0" applyFont="1" applyFill="1" applyBorder="1" applyAlignment="1">
      <alignment horizontal="center" vertical="center"/>
    </xf>
    <xf numFmtId="14" fontId="1" fillId="20" borderId="1" xfId="0" applyNumberFormat="1" applyFont="1" applyFill="1" applyBorder="1" applyAlignment="1">
      <alignment horizontal="center" vertical="center"/>
    </xf>
    <xf numFmtId="20" fontId="1" fillId="20" borderId="1" xfId="0" applyNumberFormat="1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horizontal="center" vertical="center"/>
    </xf>
    <xf numFmtId="14" fontId="1" fillId="20" borderId="31" xfId="0" applyNumberFormat="1" applyFont="1" applyFill="1" applyBorder="1" applyAlignment="1">
      <alignment horizontal="center" vertical="center"/>
    </xf>
    <xf numFmtId="0" fontId="1" fillId="20" borderId="31" xfId="0" applyFont="1" applyFill="1" applyBorder="1" applyAlignment="1">
      <alignment horizontal="left" vertical="center"/>
    </xf>
    <xf numFmtId="0" fontId="1" fillId="20" borderId="31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9" fillId="4" borderId="34" xfId="0" applyFont="1" applyFill="1" applyBorder="1" applyAlignment="1">
      <alignment horizontal="center"/>
    </xf>
    <xf numFmtId="0" fontId="9" fillId="4" borderId="35" xfId="0" applyFont="1" applyFill="1" applyBorder="1" applyAlignment="1">
      <alignment horizontal="center"/>
    </xf>
    <xf numFmtId="0" fontId="23" fillId="0" borderId="0" xfId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1" fillId="9" borderId="1" xfId="0" applyNumberFormat="1" applyFont="1" applyFill="1" applyBorder="1" applyAlignment="1">
      <alignment horizontal="center" vertical="center"/>
    </xf>
    <xf numFmtId="20" fontId="21" fillId="9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4" fontId="21" fillId="21" borderId="31" xfId="0" applyNumberFormat="1" applyFont="1" applyFill="1" applyBorder="1" applyAlignment="1">
      <alignment horizontal="center" vertical="center"/>
    </xf>
    <xf numFmtId="20" fontId="21" fillId="21" borderId="1" xfId="0" applyNumberFormat="1" applyFont="1" applyFill="1" applyBorder="1" applyAlignment="1">
      <alignment horizontal="center" vertical="center"/>
    </xf>
    <xf numFmtId="0" fontId="21" fillId="21" borderId="31" xfId="0" applyFont="1" applyFill="1" applyBorder="1" applyAlignment="1">
      <alignment horizontal="left" vertical="center"/>
    </xf>
    <xf numFmtId="0" fontId="21" fillId="21" borderId="31" xfId="0" applyFont="1" applyFill="1" applyBorder="1" applyAlignment="1">
      <alignment horizontal="center" vertical="center"/>
    </xf>
    <xf numFmtId="0" fontId="23" fillId="22" borderId="1" xfId="1" applyFont="1" applyFill="1" applyBorder="1" applyAlignment="1">
      <alignment vertical="center"/>
    </xf>
    <xf numFmtId="0" fontId="23" fillId="22" borderId="1" xfId="1" applyFont="1" applyFill="1" applyBorder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0" xfId="0"/>
    <xf numFmtId="0" fontId="1" fillId="1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1503C03-D36C-43A9-9FBF-D104EF8799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5"/>
  <sheetViews>
    <sheetView showGridLines="0" tabSelected="1" zoomScale="90" zoomScaleNormal="90" workbookViewId="0">
      <pane ySplit="1" topLeftCell="A11" activePane="bottomLeft" state="frozen"/>
      <selection pane="bottomLeft" activeCell="W25" sqref="W25"/>
    </sheetView>
  </sheetViews>
  <sheetFormatPr defaultRowHeight="14.4" x14ac:dyDescent="0.3"/>
  <cols>
    <col min="1" max="1" width="14.5546875" style="47" customWidth="1"/>
    <col min="2" max="2" width="12.88671875" style="47" customWidth="1"/>
    <col min="3" max="3" width="23.21875" bestFit="1" customWidth="1"/>
    <col min="4" max="4" width="7.6640625" style="18" customWidth="1"/>
    <col min="5" max="5" width="2.109375" style="18" bestFit="1" customWidth="1"/>
    <col min="6" max="6" width="7.6640625" style="18" customWidth="1"/>
    <col min="7" max="7" width="23.21875" bestFit="1" customWidth="1"/>
    <col min="8" max="8" width="11" style="47" bestFit="1" customWidth="1"/>
    <col min="9" max="9" width="11" bestFit="1" customWidth="1"/>
    <col min="10" max="10" width="16.21875" bestFit="1" customWidth="1"/>
    <col min="11" max="11" width="9.6640625" bestFit="1" customWidth="1"/>
    <col min="12" max="14" width="4.44140625" bestFit="1" customWidth="1"/>
    <col min="15" max="15" width="5.33203125" bestFit="1" customWidth="1"/>
    <col min="16" max="16" width="4.44140625" bestFit="1" customWidth="1"/>
    <col min="17" max="17" width="5" bestFit="1" customWidth="1"/>
    <col min="18" max="18" width="21.33203125" bestFit="1" customWidth="1"/>
    <col min="19" max="19" width="16.33203125" bestFit="1" customWidth="1"/>
    <col min="20" max="20" width="15.88671875" bestFit="1" customWidth="1"/>
    <col min="21" max="21" width="4.109375" bestFit="1" customWidth="1"/>
    <col min="22" max="22" width="15.109375" bestFit="1" customWidth="1"/>
    <col min="23" max="23" width="141.5546875" bestFit="1" customWidth="1"/>
    <col min="24" max="24" width="12.88671875" bestFit="1" customWidth="1"/>
    <col min="27" max="27" width="11.5546875" bestFit="1" customWidth="1"/>
    <col min="28" max="28" width="7.6640625" bestFit="1" customWidth="1"/>
    <col min="29" max="29" width="8.6640625" bestFit="1" customWidth="1"/>
    <col min="30" max="30" width="7.6640625" bestFit="1" customWidth="1"/>
    <col min="31" max="31" width="9.88671875" bestFit="1" customWidth="1"/>
    <col min="32" max="32" width="6.6640625" bestFit="1" customWidth="1"/>
    <col min="33" max="33" width="7.109375" bestFit="1" customWidth="1"/>
  </cols>
  <sheetData>
    <row r="1" spans="1:39" ht="33.75" customHeight="1" thickTop="1" x14ac:dyDescent="0.5">
      <c r="A1" s="127" t="s">
        <v>56</v>
      </c>
      <c r="B1" s="127"/>
      <c r="C1" s="127"/>
      <c r="D1" s="127"/>
      <c r="E1" s="127"/>
      <c r="F1" s="127"/>
      <c r="G1" s="127"/>
      <c r="H1" s="20"/>
      <c r="I1" s="131" t="s">
        <v>34</v>
      </c>
      <c r="J1" s="132"/>
      <c r="K1" s="132"/>
      <c r="L1" s="132"/>
      <c r="M1" s="132"/>
      <c r="N1" s="132"/>
      <c r="O1" s="132"/>
      <c r="P1" s="133"/>
      <c r="Q1" s="14"/>
      <c r="R1" s="13" t="s">
        <v>29</v>
      </c>
      <c r="S1" s="3" t="s">
        <v>30</v>
      </c>
      <c r="T1" s="3" t="s">
        <v>31</v>
      </c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</row>
    <row r="2" spans="1:39" ht="21" customHeight="1" x14ac:dyDescent="0.35">
      <c r="A2" s="96">
        <v>46184</v>
      </c>
      <c r="B2" s="97">
        <v>0.66666666666666663</v>
      </c>
      <c r="C2" s="98" t="s">
        <v>13</v>
      </c>
      <c r="D2" s="99">
        <v>2</v>
      </c>
      <c r="E2" s="99" t="s">
        <v>1</v>
      </c>
      <c r="F2" s="99">
        <v>0</v>
      </c>
      <c r="G2" s="98" t="s">
        <v>88</v>
      </c>
      <c r="H2" s="48"/>
      <c r="I2" s="134"/>
      <c r="J2" s="135"/>
      <c r="K2" s="135"/>
      <c r="L2" s="135"/>
      <c r="M2" s="135"/>
      <c r="N2" s="135"/>
      <c r="O2" s="135"/>
      <c r="P2" s="136"/>
      <c r="Q2" s="14"/>
      <c r="R2" s="12" t="str">
        <f>IF(D2="","",IF(D2&gt;F2,C2,IF(F2&gt;D2,G2,"EMPATE")))</f>
        <v>México</v>
      </c>
      <c r="S2" s="9">
        <f>IF(D2="","",IF(D2&gt;F2,D2,IF(F2&gt;D2,F2,D2)))</f>
        <v>2</v>
      </c>
      <c r="T2" s="9">
        <f>IF(D2="","",IF(D2&lt;F2,D2,IF(F2&lt;D2,F2,D2)))</f>
        <v>0</v>
      </c>
      <c r="V2" s="6" t="s">
        <v>43</v>
      </c>
      <c r="W2" s="6"/>
      <c r="AA2" s="125"/>
      <c r="AB2" s="125"/>
      <c r="AC2" s="125"/>
      <c r="AD2" s="125"/>
      <c r="AE2" s="125"/>
      <c r="AF2" s="126"/>
      <c r="AG2" s="125"/>
      <c r="AH2" s="125"/>
      <c r="AI2" s="125"/>
      <c r="AJ2" s="125"/>
      <c r="AK2" s="125"/>
      <c r="AL2" s="126"/>
      <c r="AM2" s="125"/>
    </row>
    <row r="3" spans="1:39" ht="21" customHeight="1" thickBot="1" x14ac:dyDescent="0.35">
      <c r="A3" s="96">
        <v>46184</v>
      </c>
      <c r="B3" s="97">
        <v>0.95833333333333337</v>
      </c>
      <c r="C3" s="98" t="s">
        <v>15</v>
      </c>
      <c r="D3" s="99">
        <v>2</v>
      </c>
      <c r="E3" s="99" t="s">
        <v>1</v>
      </c>
      <c r="F3" s="99">
        <v>1</v>
      </c>
      <c r="G3" s="98" t="s">
        <v>111</v>
      </c>
      <c r="H3" s="48"/>
      <c r="I3" s="137"/>
      <c r="J3" s="138"/>
      <c r="K3" s="138"/>
      <c r="L3" s="138"/>
      <c r="M3" s="138"/>
      <c r="N3" s="138"/>
      <c r="O3" s="138"/>
      <c r="P3" s="139"/>
      <c r="Q3" s="14"/>
      <c r="R3" s="12" t="str">
        <f t="shared" ref="R3:R22" si="0">IF(D3="","",IF(D3&gt;F3,C3,IF(F3&gt;D3,G3,"EMPATE")))</f>
        <v>Coréia do Sul</v>
      </c>
      <c r="S3" s="9">
        <f t="shared" ref="S3:S22" si="1">IF(D3="","",IF(D3&gt;F3,D3,IF(F3&gt;D3,F3,D3)))</f>
        <v>2</v>
      </c>
      <c r="T3" s="9">
        <f t="shared" ref="T3:T22" si="2">IF(D3="","",IF(D3&lt;F3,D3,IF(F3&lt;D3,F3,D3)))</f>
        <v>1</v>
      </c>
      <c r="AA3" s="125"/>
      <c r="AB3" s="125"/>
      <c r="AC3" s="125"/>
      <c r="AD3" s="125"/>
      <c r="AE3" s="125"/>
      <c r="AF3" s="126"/>
      <c r="AG3" s="125"/>
      <c r="AH3" s="125"/>
      <c r="AI3" s="125"/>
      <c r="AJ3" s="125"/>
      <c r="AK3" s="125"/>
      <c r="AL3" s="126"/>
      <c r="AM3" s="125"/>
    </row>
    <row r="4" spans="1:39" ht="21" customHeight="1" thickTop="1" thickBot="1" x14ac:dyDescent="0.4">
      <c r="A4" s="96">
        <v>46185</v>
      </c>
      <c r="B4" s="97">
        <v>0.66666666666666663</v>
      </c>
      <c r="C4" s="98" t="s">
        <v>105</v>
      </c>
      <c r="D4" s="99">
        <v>1</v>
      </c>
      <c r="E4" s="99" t="s">
        <v>1</v>
      </c>
      <c r="F4" s="99">
        <v>1</v>
      </c>
      <c r="G4" s="98" t="s">
        <v>112</v>
      </c>
      <c r="H4" s="48"/>
      <c r="I4" s="5"/>
      <c r="J4" s="5"/>
      <c r="R4" s="12" t="str">
        <f t="shared" si="0"/>
        <v>EMPATE</v>
      </c>
      <c r="S4" s="9">
        <f t="shared" si="1"/>
        <v>1</v>
      </c>
      <c r="T4" s="9">
        <f t="shared" si="2"/>
        <v>1</v>
      </c>
      <c r="V4" s="2" t="s">
        <v>35</v>
      </c>
      <c r="W4" s="6" t="s">
        <v>107</v>
      </c>
      <c r="AA4" s="125"/>
      <c r="AB4" s="125"/>
      <c r="AC4" s="125"/>
      <c r="AD4" s="125"/>
      <c r="AE4" s="125"/>
      <c r="AF4" s="126"/>
      <c r="AG4" s="125"/>
      <c r="AH4" s="125"/>
      <c r="AI4" s="125"/>
      <c r="AJ4" s="125"/>
      <c r="AK4" s="125"/>
      <c r="AL4" s="126"/>
      <c r="AM4" s="125"/>
    </row>
    <row r="5" spans="1:39" ht="21" customHeight="1" thickTop="1" x14ac:dyDescent="0.35">
      <c r="A5" s="96">
        <v>46185</v>
      </c>
      <c r="B5" s="97">
        <v>0.91666666666666663</v>
      </c>
      <c r="C5" s="98" t="s">
        <v>104</v>
      </c>
      <c r="D5" s="99">
        <v>4</v>
      </c>
      <c r="E5" s="99" t="s">
        <v>1</v>
      </c>
      <c r="F5" s="99">
        <v>1</v>
      </c>
      <c r="G5" s="98" t="s">
        <v>115</v>
      </c>
      <c r="H5" s="48"/>
      <c r="I5" s="131" t="s">
        <v>39</v>
      </c>
      <c r="J5" s="132"/>
      <c r="K5" s="132"/>
      <c r="L5" s="132"/>
      <c r="M5" s="132"/>
      <c r="N5" s="132"/>
      <c r="O5" s="132"/>
      <c r="P5" s="133"/>
      <c r="Q5" s="14"/>
      <c r="R5" s="12" t="str">
        <f t="shared" si="0"/>
        <v>Estados Unidos</v>
      </c>
      <c r="S5" s="9">
        <f t="shared" si="1"/>
        <v>4</v>
      </c>
      <c r="T5" s="9">
        <f t="shared" si="2"/>
        <v>1</v>
      </c>
      <c r="V5" s="2" t="s">
        <v>36</v>
      </c>
      <c r="W5" s="6" t="s">
        <v>48</v>
      </c>
      <c r="AA5" s="125"/>
      <c r="AB5" s="125"/>
      <c r="AC5" s="125"/>
      <c r="AD5" s="125"/>
      <c r="AE5" s="125"/>
      <c r="AF5" s="126"/>
      <c r="AG5" s="125"/>
      <c r="AH5" s="125"/>
      <c r="AI5" s="125"/>
      <c r="AJ5" s="125"/>
      <c r="AK5" s="125"/>
      <c r="AL5" s="126"/>
      <c r="AM5" s="125"/>
    </row>
    <row r="6" spans="1:39" ht="21" customHeight="1" x14ac:dyDescent="0.35">
      <c r="A6" s="96">
        <v>46186</v>
      </c>
      <c r="B6" s="97">
        <v>0.66666666666666663</v>
      </c>
      <c r="C6" s="98" t="s">
        <v>97</v>
      </c>
      <c r="D6" s="99">
        <v>1</v>
      </c>
      <c r="E6" s="99" t="s">
        <v>1</v>
      </c>
      <c r="F6" s="99">
        <v>1</v>
      </c>
      <c r="G6" s="98" t="s">
        <v>72</v>
      </c>
      <c r="H6" s="48"/>
      <c r="I6" s="134"/>
      <c r="J6" s="135"/>
      <c r="K6" s="135"/>
      <c r="L6" s="135"/>
      <c r="M6" s="135"/>
      <c r="N6" s="135"/>
      <c r="O6" s="135"/>
      <c r="P6" s="136"/>
      <c r="Q6" s="14"/>
      <c r="R6" s="12" t="str">
        <f t="shared" si="0"/>
        <v>EMPATE</v>
      </c>
      <c r="S6" s="9">
        <f t="shared" si="1"/>
        <v>1</v>
      </c>
      <c r="T6" s="9">
        <f t="shared" si="2"/>
        <v>1</v>
      </c>
      <c r="V6" s="2" t="s">
        <v>37</v>
      </c>
      <c r="W6" s="6" t="s">
        <v>40</v>
      </c>
      <c r="AA6" s="125"/>
      <c r="AB6" s="125"/>
      <c r="AC6" s="125"/>
      <c r="AD6" s="125"/>
      <c r="AE6" s="125"/>
      <c r="AF6" s="126"/>
      <c r="AG6" s="125"/>
      <c r="AH6" s="125"/>
      <c r="AI6" s="125"/>
      <c r="AJ6" s="125"/>
      <c r="AK6" s="125"/>
      <c r="AL6" s="126"/>
      <c r="AM6" s="125"/>
    </row>
    <row r="7" spans="1:39" ht="21" customHeight="1" thickBot="1" x14ac:dyDescent="0.4">
      <c r="A7" s="96">
        <v>46186</v>
      </c>
      <c r="B7" s="97">
        <v>0.79166666666666663</v>
      </c>
      <c r="C7" s="98" t="s">
        <v>11</v>
      </c>
      <c r="D7" s="99">
        <v>1</v>
      </c>
      <c r="E7" s="99" t="s">
        <v>1</v>
      </c>
      <c r="F7" s="99">
        <v>1</v>
      </c>
      <c r="G7" s="98" t="s">
        <v>4</v>
      </c>
      <c r="H7" s="48"/>
      <c r="I7" s="137"/>
      <c r="J7" s="138"/>
      <c r="K7" s="138"/>
      <c r="L7" s="138"/>
      <c r="M7" s="138"/>
      <c r="N7" s="138"/>
      <c r="O7" s="138"/>
      <c r="P7" s="139"/>
      <c r="Q7" s="14"/>
      <c r="R7" s="12" t="str">
        <f t="shared" si="0"/>
        <v>EMPATE</v>
      </c>
      <c r="S7" s="9">
        <f t="shared" si="1"/>
        <v>1</v>
      </c>
      <c r="T7" s="9">
        <f t="shared" si="2"/>
        <v>1</v>
      </c>
      <c r="V7" s="2" t="s">
        <v>38</v>
      </c>
      <c r="W7" s="6" t="s">
        <v>47</v>
      </c>
      <c r="AA7" s="125"/>
      <c r="AB7" s="125"/>
      <c r="AC7" s="125"/>
      <c r="AD7" s="125"/>
      <c r="AE7" s="125"/>
      <c r="AF7" s="126"/>
      <c r="AG7" s="125"/>
      <c r="AH7" s="125"/>
      <c r="AI7" s="125"/>
      <c r="AJ7" s="125"/>
      <c r="AK7" s="125"/>
      <c r="AL7" s="126"/>
      <c r="AM7" s="125"/>
    </row>
    <row r="8" spans="1:39" ht="21" customHeight="1" thickTop="1" thickBot="1" x14ac:dyDescent="0.4">
      <c r="A8" s="96">
        <v>46186</v>
      </c>
      <c r="B8" s="97">
        <v>0.91666666666666663</v>
      </c>
      <c r="C8" s="98" t="s">
        <v>113</v>
      </c>
      <c r="D8" s="99">
        <v>0</v>
      </c>
      <c r="E8" s="99" t="s">
        <v>1</v>
      </c>
      <c r="F8" s="99">
        <v>1</v>
      </c>
      <c r="G8" s="98" t="s">
        <v>114</v>
      </c>
      <c r="H8" s="48"/>
      <c r="R8" s="8" t="str">
        <f t="shared" si="0"/>
        <v>Escócia</v>
      </c>
      <c r="S8" s="9">
        <f t="shared" si="1"/>
        <v>1</v>
      </c>
      <c r="T8" s="9">
        <f t="shared" si="2"/>
        <v>0</v>
      </c>
      <c r="V8" s="2" t="s">
        <v>41</v>
      </c>
      <c r="W8" s="6" t="s">
        <v>42</v>
      </c>
      <c r="AA8" s="125"/>
      <c r="AB8" s="125"/>
      <c r="AC8" s="125"/>
      <c r="AD8" s="125"/>
      <c r="AE8" s="125"/>
      <c r="AF8" s="126"/>
      <c r="AG8" s="125"/>
      <c r="AH8" s="125"/>
      <c r="AI8" s="125"/>
      <c r="AJ8" s="125"/>
      <c r="AK8" s="125"/>
      <c r="AL8" s="126"/>
      <c r="AM8" s="125"/>
    </row>
    <row r="9" spans="1:39" ht="21" customHeight="1" thickTop="1" thickBot="1" x14ac:dyDescent="0.45">
      <c r="A9" s="96">
        <v>46187</v>
      </c>
      <c r="B9" s="97">
        <v>4.1666666666666664E-2</v>
      </c>
      <c r="C9" s="98" t="s">
        <v>8</v>
      </c>
      <c r="D9" s="99">
        <v>2</v>
      </c>
      <c r="E9" s="99" t="s">
        <v>1</v>
      </c>
      <c r="F9" s="99">
        <v>0</v>
      </c>
      <c r="G9" s="98" t="s">
        <v>116</v>
      </c>
      <c r="H9" s="48"/>
      <c r="I9" s="128" t="s">
        <v>108</v>
      </c>
      <c r="J9" s="129"/>
      <c r="K9" s="129"/>
      <c r="L9" s="129"/>
      <c r="M9" s="129"/>
      <c r="N9" s="129"/>
      <c r="O9" s="129"/>
      <c r="P9" s="130"/>
      <c r="Q9" s="20"/>
      <c r="R9" s="8" t="str">
        <f t="shared" si="0"/>
        <v>Austrália</v>
      </c>
      <c r="S9" s="9">
        <f t="shared" si="1"/>
        <v>2</v>
      </c>
      <c r="T9" s="9">
        <f t="shared" si="2"/>
        <v>0</v>
      </c>
      <c r="AA9" s="125"/>
      <c r="AB9" s="125"/>
      <c r="AC9" s="125"/>
      <c r="AD9" s="125"/>
      <c r="AE9" s="125"/>
      <c r="AF9" s="126"/>
      <c r="AG9" s="125"/>
      <c r="AH9" s="125"/>
      <c r="AI9" s="125"/>
      <c r="AJ9" s="125"/>
      <c r="AK9" s="125"/>
      <c r="AL9" s="126"/>
      <c r="AM9" s="125"/>
    </row>
    <row r="10" spans="1:39" ht="22.2" thickTop="1" thickBot="1" x14ac:dyDescent="0.45">
      <c r="A10" s="96">
        <v>46187</v>
      </c>
      <c r="B10" s="97">
        <v>0.58333333333333337</v>
      </c>
      <c r="C10" s="98" t="s">
        <v>12</v>
      </c>
      <c r="D10" s="99">
        <v>7</v>
      </c>
      <c r="E10" s="99" t="s">
        <v>1</v>
      </c>
      <c r="F10" s="99">
        <v>1</v>
      </c>
      <c r="G10" s="98" t="s">
        <v>117</v>
      </c>
      <c r="H10" s="48"/>
      <c r="I10" s="22" t="s">
        <v>24</v>
      </c>
      <c r="J10" s="23" t="s">
        <v>25</v>
      </c>
      <c r="K10" s="23" t="s">
        <v>49</v>
      </c>
      <c r="L10" s="24">
        <v>9</v>
      </c>
      <c r="M10" s="24">
        <v>6</v>
      </c>
      <c r="N10" s="24">
        <v>4</v>
      </c>
      <c r="O10" s="24">
        <v>3</v>
      </c>
      <c r="P10" s="25">
        <v>0</v>
      </c>
      <c r="Q10" s="21"/>
      <c r="R10" s="8" t="str">
        <f t="shared" si="0"/>
        <v>Alemanha</v>
      </c>
      <c r="S10" s="9">
        <f t="shared" si="1"/>
        <v>7</v>
      </c>
      <c r="T10" s="9">
        <f t="shared" si="2"/>
        <v>1</v>
      </c>
      <c r="V10" s="6" t="s">
        <v>55</v>
      </c>
      <c r="W10" s="2"/>
      <c r="AA10" s="125"/>
      <c r="AB10" s="125"/>
      <c r="AC10" s="125"/>
      <c r="AD10" s="125"/>
      <c r="AE10" s="125"/>
      <c r="AF10" s="126"/>
      <c r="AG10" s="125"/>
      <c r="AH10" s="125"/>
      <c r="AI10" s="125"/>
      <c r="AJ10" s="125"/>
      <c r="AK10" s="125"/>
      <c r="AL10" s="126"/>
      <c r="AM10" s="125"/>
    </row>
    <row r="11" spans="1:39" ht="21.6" thickTop="1" x14ac:dyDescent="0.4">
      <c r="A11" s="96">
        <v>46187</v>
      </c>
      <c r="B11" s="97">
        <v>0.70833333333333337</v>
      </c>
      <c r="C11" s="98" t="s">
        <v>78</v>
      </c>
      <c r="D11" s="99">
        <v>2</v>
      </c>
      <c r="E11" s="99" t="s">
        <v>1</v>
      </c>
      <c r="F11" s="99">
        <v>2</v>
      </c>
      <c r="G11" s="98" t="s">
        <v>19</v>
      </c>
      <c r="H11" s="49">
        <f>(K11*1000000+L11*10000+M11*1000+N11*100+O11*10)</f>
        <v>208063690</v>
      </c>
      <c r="I11" s="26">
        <f t="shared" ref="I11:I20" si="3">_xlfn.RANK.EQ(H11,$H$11:$H$20)</f>
        <v>3</v>
      </c>
      <c r="J11" s="27" t="s">
        <v>21</v>
      </c>
      <c r="K11" s="27">
        <f>SUM(BERNARDO!$O$2:$O$105)</f>
        <v>208</v>
      </c>
      <c r="L11" s="28">
        <f>COUNTIF(BERNARDO!$O$2:'BERNARDO'!$O$105,"9")</f>
        <v>5</v>
      </c>
      <c r="M11" s="28">
        <f>COUNTIF(BERNARDO!$O$2:'BERNARDO'!$O$105,"6")</f>
        <v>12</v>
      </c>
      <c r="N11" s="28">
        <f>COUNTIF(BERNARDO!$O$2:'BERNARDO'!$O$105,"4")</f>
        <v>16</v>
      </c>
      <c r="O11" s="28">
        <f>COUNTIF(BERNARDO!$O$2:'BERNARDO'!$O$105,"3")</f>
        <v>9</v>
      </c>
      <c r="P11" s="29">
        <f>COUNTIF(BERNARDO!$O$2:'BERNARDO'!$O$105,"0")</f>
        <v>30</v>
      </c>
      <c r="Q11" s="21">
        <f t="shared" ref="Q11:Q15" si="4">L11*9+M11*6+N11*4+O11*3</f>
        <v>208</v>
      </c>
      <c r="R11" s="8" t="str">
        <f t="shared" si="0"/>
        <v>EMPATE</v>
      </c>
      <c r="S11" s="9">
        <f t="shared" si="1"/>
        <v>2</v>
      </c>
      <c r="T11" s="9">
        <f t="shared" si="2"/>
        <v>2</v>
      </c>
      <c r="V11" s="6" t="s">
        <v>50</v>
      </c>
      <c r="W11" s="2"/>
      <c r="AA11" s="125"/>
      <c r="AB11" s="125"/>
      <c r="AC11" s="125"/>
      <c r="AD11" s="125"/>
      <c r="AE11" s="125"/>
      <c r="AF11" s="126"/>
      <c r="AG11" s="125"/>
      <c r="AH11" s="125"/>
      <c r="AI11" s="125"/>
      <c r="AJ11" s="125"/>
      <c r="AK11" s="125"/>
      <c r="AL11" s="126"/>
      <c r="AM11" s="125"/>
    </row>
    <row r="12" spans="1:39" ht="21" x14ac:dyDescent="0.4">
      <c r="A12" s="96">
        <v>46187</v>
      </c>
      <c r="B12" s="97">
        <v>0.83333333333333337</v>
      </c>
      <c r="C12" s="98" t="s">
        <v>118</v>
      </c>
      <c r="D12" s="99">
        <v>1</v>
      </c>
      <c r="E12" s="99" t="s">
        <v>1</v>
      </c>
      <c r="F12" s="99">
        <v>0</v>
      </c>
      <c r="G12" s="98" t="s">
        <v>102</v>
      </c>
      <c r="H12" s="49">
        <f t="shared" ref="H12:H20" si="5">(K12*1000000+L12*10000+M12*1000+N12*100+O12*10)</f>
        <v>203061280</v>
      </c>
      <c r="I12" s="30">
        <f t="shared" si="3"/>
        <v>4</v>
      </c>
      <c r="J12" s="7" t="s">
        <v>94</v>
      </c>
      <c r="K12" s="7">
        <f>SUM(THIAGO!$O$2:$O$105)</f>
        <v>203</v>
      </c>
      <c r="L12" s="11">
        <f>COUNTIF(THIAGO!$O$2:'THIAGO'!$O$105,"9")</f>
        <v>5</v>
      </c>
      <c r="M12" s="11">
        <f>COUNTIF(THIAGO!$O$2:'THIAGO'!$O$105,"6")</f>
        <v>10</v>
      </c>
      <c r="N12" s="11">
        <f>COUNTIF(THIAGO!$O$2:'THIAGO'!$O$105,"4")</f>
        <v>11</v>
      </c>
      <c r="O12" s="11">
        <f>COUNTIF(THIAGO!$O$2:'THIAGO'!$O$105,"3")</f>
        <v>18</v>
      </c>
      <c r="P12" s="31">
        <f>COUNTIF(THIAGO!$O$2:'THIAGO'!$O$105,"0")</f>
        <v>28</v>
      </c>
      <c r="Q12" s="21">
        <f>L12*9+M12*6+N12*4+O12*3</f>
        <v>203</v>
      </c>
      <c r="R12" s="8" t="str">
        <f t="shared" si="0"/>
        <v>Costa do Marfim</v>
      </c>
      <c r="S12" s="9">
        <f t="shared" si="1"/>
        <v>1</v>
      </c>
      <c r="T12" s="9">
        <f t="shared" si="2"/>
        <v>0</v>
      </c>
      <c r="V12" s="6" t="s">
        <v>51</v>
      </c>
      <c r="W12" s="2"/>
      <c r="AA12" s="125"/>
      <c r="AB12" s="125"/>
      <c r="AC12" s="125"/>
      <c r="AD12" s="125"/>
      <c r="AE12" s="125"/>
      <c r="AF12" s="126"/>
      <c r="AG12" s="125"/>
      <c r="AH12" s="125"/>
      <c r="AI12" s="125"/>
      <c r="AJ12" s="125"/>
      <c r="AK12" s="125"/>
      <c r="AL12" s="126"/>
      <c r="AM12" s="125"/>
    </row>
    <row r="13" spans="1:39" ht="21" x14ac:dyDescent="0.4">
      <c r="A13" s="96">
        <v>46187</v>
      </c>
      <c r="B13" s="97">
        <v>0.95833333333333337</v>
      </c>
      <c r="C13" s="98" t="s">
        <v>14</v>
      </c>
      <c r="D13" s="99">
        <v>5</v>
      </c>
      <c r="E13" s="99" t="s">
        <v>1</v>
      </c>
      <c r="F13" s="99">
        <v>1</v>
      </c>
      <c r="G13" s="98" t="s">
        <v>17</v>
      </c>
      <c r="H13" s="49">
        <f t="shared" si="5"/>
        <v>192057670</v>
      </c>
      <c r="I13" s="30">
        <f t="shared" si="3"/>
        <v>5</v>
      </c>
      <c r="J13" s="7" t="s">
        <v>109</v>
      </c>
      <c r="K13" s="7">
        <f>SUM(RICARDO!$O$2:$O$105)</f>
        <v>192</v>
      </c>
      <c r="L13" s="11">
        <f>COUNTIF(RICARDO!$O$2:'RICARDO'!$O$105,"9")</f>
        <v>5</v>
      </c>
      <c r="M13" s="11">
        <f>COUNTIF(RICARDO!$O$2:'RICARDO'!$O$105,"6")</f>
        <v>6</v>
      </c>
      <c r="N13" s="11">
        <f>COUNTIF(RICARDO!$O$2:'RICARDO'!$O$105,"4")</f>
        <v>15</v>
      </c>
      <c r="O13" s="11">
        <f>COUNTIF(RICARDO!$O$2:'RICARDO'!$O$105,"3")</f>
        <v>17</v>
      </c>
      <c r="P13" s="31">
        <f>COUNTIF(RICARDO!$O$2:'RICARDO'!$O$105,"0")</f>
        <v>29</v>
      </c>
      <c r="Q13" s="21">
        <f t="shared" si="4"/>
        <v>192</v>
      </c>
      <c r="R13" s="8" t="str">
        <f t="shared" si="0"/>
        <v>Suécia</v>
      </c>
      <c r="S13" s="9">
        <f t="shared" si="1"/>
        <v>5</v>
      </c>
      <c r="T13" s="9">
        <f t="shared" si="2"/>
        <v>1</v>
      </c>
      <c r="V13" s="6" t="s">
        <v>52</v>
      </c>
      <c r="W13" s="2"/>
      <c r="AA13" s="125"/>
      <c r="AB13" s="125"/>
      <c r="AC13" s="125"/>
      <c r="AD13" s="125"/>
      <c r="AE13" s="125"/>
      <c r="AF13" s="126"/>
      <c r="AG13" s="125"/>
      <c r="AH13" s="125"/>
      <c r="AI13" s="125"/>
      <c r="AJ13" s="125"/>
      <c r="AK13" s="125"/>
      <c r="AL13" s="126"/>
      <c r="AM13" s="125"/>
    </row>
    <row r="14" spans="1:39" ht="21" x14ac:dyDescent="0.4">
      <c r="A14" s="96">
        <v>46188</v>
      </c>
      <c r="B14" s="97">
        <v>0.54166666666666663</v>
      </c>
      <c r="C14" s="98" t="s">
        <v>6</v>
      </c>
      <c r="D14" s="99">
        <v>0</v>
      </c>
      <c r="E14" s="99" t="s">
        <v>1</v>
      </c>
      <c r="F14" s="99">
        <v>0</v>
      </c>
      <c r="G14" s="98" t="s">
        <v>121</v>
      </c>
      <c r="H14" s="49">
        <f t="shared" si="5"/>
        <v>166058850</v>
      </c>
      <c r="I14" s="30">
        <f t="shared" si="3"/>
        <v>9</v>
      </c>
      <c r="J14" s="7" t="s">
        <v>92</v>
      </c>
      <c r="K14" s="7">
        <f>SUM(FERNANDO!$O$2:$O$105)</f>
        <v>166</v>
      </c>
      <c r="L14" s="11">
        <f>COUNTIF(FERNANDO!$O$2:'FERNANDO'!$O$105,"9")</f>
        <v>5</v>
      </c>
      <c r="M14" s="11">
        <f>COUNTIF(FERNANDO!$O$2:'FERNANDO'!$O$105,"6")</f>
        <v>8</v>
      </c>
      <c r="N14" s="11">
        <f>COUNTIF(FERNANDO!$O$2:'FERNANDO'!$O$105,"4")</f>
        <v>7</v>
      </c>
      <c r="O14" s="11">
        <f>COUNTIF(FERNANDO!$O$2:'FERNANDO'!$O$105,"3")</f>
        <v>15</v>
      </c>
      <c r="P14" s="31">
        <f>COUNTIF(FERNANDO!$O$2:'FERNANDO'!$O$105,"0")</f>
        <v>37</v>
      </c>
      <c r="Q14" s="21">
        <f t="shared" si="4"/>
        <v>166</v>
      </c>
      <c r="R14" s="8" t="str">
        <f t="shared" si="0"/>
        <v>EMPATE</v>
      </c>
      <c r="S14" s="9">
        <f t="shared" si="1"/>
        <v>0</v>
      </c>
      <c r="T14" s="9">
        <f t="shared" si="2"/>
        <v>0</v>
      </c>
      <c r="V14" s="6" t="s">
        <v>53</v>
      </c>
      <c r="W14" s="2"/>
      <c r="AA14" s="125"/>
      <c r="AB14" s="125"/>
      <c r="AC14" s="125"/>
      <c r="AD14" s="125"/>
      <c r="AE14" s="125"/>
      <c r="AF14" s="126"/>
      <c r="AG14" s="125"/>
      <c r="AH14" s="125"/>
      <c r="AI14" s="125"/>
      <c r="AJ14" s="125"/>
      <c r="AK14" s="125"/>
      <c r="AL14" s="126"/>
      <c r="AM14" s="125"/>
    </row>
    <row r="15" spans="1:39" ht="21" x14ac:dyDescent="0.4">
      <c r="A15" s="96">
        <v>46188</v>
      </c>
      <c r="B15" s="97">
        <v>0.66666666666666663</v>
      </c>
      <c r="C15" s="98" t="s">
        <v>16</v>
      </c>
      <c r="D15" s="99">
        <v>1</v>
      </c>
      <c r="E15" s="99" t="s">
        <v>1</v>
      </c>
      <c r="F15" s="99">
        <v>1</v>
      </c>
      <c r="G15" s="98" t="s">
        <v>119</v>
      </c>
      <c r="H15" s="49">
        <f t="shared" si="5"/>
        <v>174074350</v>
      </c>
      <c r="I15" s="30">
        <f t="shared" si="3"/>
        <v>8</v>
      </c>
      <c r="J15" s="7" t="s">
        <v>110</v>
      </c>
      <c r="K15" s="7">
        <f>SUM(GUSTAVO!$O$2:$O$105)</f>
        <v>174</v>
      </c>
      <c r="L15" s="11">
        <f>COUNTIF(GUSTAVO!$O$2:'GUSTAVO'!$O$105,"9")</f>
        <v>7</v>
      </c>
      <c r="M15" s="11">
        <f>COUNTIF(GUSTAVO!$O$2:'GUSTAVO'!$O$105,"6")</f>
        <v>3</v>
      </c>
      <c r="N15" s="11">
        <f>COUNTIF(GUSTAVO!$O$2:'GUSTAVO'!$O$105,"4")</f>
        <v>12</v>
      </c>
      <c r="O15" s="11">
        <f>COUNTIF(GUSTAVO!$O$2:'GUSTAVO'!$O$105,"3")</f>
        <v>15</v>
      </c>
      <c r="P15" s="31">
        <f>COUNTIF(GUSTAVO!$O$2:'GUSTAVO'!$O$105,"0")</f>
        <v>35</v>
      </c>
      <c r="Q15" s="21">
        <f t="shared" si="4"/>
        <v>174</v>
      </c>
      <c r="R15" s="8" t="str">
        <f t="shared" si="0"/>
        <v>EMPATE</v>
      </c>
      <c r="S15" s="9">
        <f t="shared" si="1"/>
        <v>1</v>
      </c>
      <c r="T15" s="9">
        <f t="shared" si="2"/>
        <v>1</v>
      </c>
      <c r="V15" s="6" t="s">
        <v>54</v>
      </c>
      <c r="W15" s="19"/>
      <c r="AA15" s="125"/>
      <c r="AB15" s="125"/>
      <c r="AC15" s="125"/>
      <c r="AD15" s="125"/>
      <c r="AE15" s="125"/>
      <c r="AF15" s="126"/>
      <c r="AG15" s="125"/>
      <c r="AH15" s="125"/>
      <c r="AI15" s="125"/>
      <c r="AJ15" s="125"/>
      <c r="AK15" s="125"/>
      <c r="AL15" s="126"/>
      <c r="AM15" s="125"/>
    </row>
    <row r="16" spans="1:39" ht="21" x14ac:dyDescent="0.4">
      <c r="A16" s="96">
        <v>46188</v>
      </c>
      <c r="B16" s="97">
        <v>0.79166666666666663</v>
      </c>
      <c r="C16" s="98" t="s">
        <v>2</v>
      </c>
      <c r="D16" s="99">
        <v>1</v>
      </c>
      <c r="E16" s="99" t="s">
        <v>1</v>
      </c>
      <c r="F16" s="99">
        <v>1</v>
      </c>
      <c r="G16" s="98" t="s">
        <v>3</v>
      </c>
      <c r="H16" s="49">
        <f t="shared" si="5"/>
        <v>191074060</v>
      </c>
      <c r="I16" s="30">
        <f>_xlfn.RANK.EQ(H16,$H$11:$H$20)</f>
        <v>6</v>
      </c>
      <c r="J16" s="7" t="s">
        <v>22</v>
      </c>
      <c r="K16" s="7">
        <f>SUM(MARCIO!$O$2:$O$105)</f>
        <v>191</v>
      </c>
      <c r="L16" s="11">
        <f>COUNTIF(MARCIO!$O$2:'MARCIO'!$O$105,"9")</f>
        <v>7</v>
      </c>
      <c r="M16" s="11">
        <f>COUNTIF(MARCIO!$O$2:'MARCIO'!$O$105,"6")</f>
        <v>3</v>
      </c>
      <c r="N16" s="11">
        <f>COUNTIF(MARCIO!$O$2:'MARCIO'!$O$105,"4")</f>
        <v>8</v>
      </c>
      <c r="O16" s="11">
        <f>COUNTIF(MARCIO!$O$2:'MARCIO'!$O$105,"3")</f>
        <v>26</v>
      </c>
      <c r="P16" s="31">
        <f>COUNTIF(MARCIO!$O$2:'MARCIO'!$O$105,"0")</f>
        <v>28</v>
      </c>
      <c r="Q16" s="21">
        <f>L16*9+M16*6+N16*4+O16*3</f>
        <v>191</v>
      </c>
      <c r="R16" s="8" t="str">
        <f t="shared" si="0"/>
        <v>EMPATE</v>
      </c>
      <c r="S16" s="9">
        <f t="shared" si="1"/>
        <v>1</v>
      </c>
      <c r="T16" s="9">
        <f t="shared" si="2"/>
        <v>1</v>
      </c>
      <c r="AA16" s="125"/>
      <c r="AB16" s="125"/>
      <c r="AC16" s="125"/>
      <c r="AD16" s="125"/>
      <c r="AE16" s="125"/>
      <c r="AF16" s="126"/>
      <c r="AG16" s="125"/>
      <c r="AH16" s="125"/>
      <c r="AI16" s="125"/>
      <c r="AJ16" s="125"/>
      <c r="AK16" s="125"/>
      <c r="AL16" s="126"/>
      <c r="AM16" s="125"/>
    </row>
    <row r="17" spans="1:39" ht="21" x14ac:dyDescent="0.4">
      <c r="A17" s="96">
        <v>46188</v>
      </c>
      <c r="B17" s="97">
        <v>0.91666666666666663</v>
      </c>
      <c r="C17" s="98" t="s">
        <v>103</v>
      </c>
      <c r="D17" s="99">
        <v>2</v>
      </c>
      <c r="E17" s="99" t="s">
        <v>1</v>
      </c>
      <c r="F17" s="99">
        <v>2</v>
      </c>
      <c r="G17" s="98" t="s">
        <v>120</v>
      </c>
      <c r="H17" s="49">
        <f t="shared" si="5"/>
        <v>177064650</v>
      </c>
      <c r="I17" s="30">
        <f t="shared" si="3"/>
        <v>7</v>
      </c>
      <c r="J17" s="7" t="s">
        <v>93</v>
      </c>
      <c r="K17" s="7">
        <f>SUM(GABRIEL!$O$2:$O$105)</f>
        <v>177</v>
      </c>
      <c r="L17" s="11">
        <f>COUNTIF(GABRIEL!$O$2:'GABRIEL'!$O$105,"9")</f>
        <v>6</v>
      </c>
      <c r="M17" s="11">
        <f>COUNTIF(GABRIEL!$O$2:'GABRIEL'!$O$105,"6")</f>
        <v>3</v>
      </c>
      <c r="N17" s="11">
        <f>COUNTIF(GABRIEL!$O$2:'GABRIEL'!$O$105,"4")</f>
        <v>15</v>
      </c>
      <c r="O17" s="11">
        <f>COUNTIF(GABRIEL!$O$2:'GABRIEL'!$O$105,"3")</f>
        <v>15</v>
      </c>
      <c r="P17" s="31">
        <f>COUNTIF(GABRIEL!$O$2:'GABRIEL'!$O$105,"0")</f>
        <v>33</v>
      </c>
      <c r="Q17" s="21">
        <f>L17*9+M17*6+N17*4+O17*3</f>
        <v>177</v>
      </c>
      <c r="R17" s="8" t="str">
        <f t="shared" si="0"/>
        <v>EMPATE</v>
      </c>
      <c r="S17" s="9">
        <f t="shared" si="1"/>
        <v>2</v>
      </c>
      <c r="T17" s="9">
        <f t="shared" si="2"/>
        <v>2</v>
      </c>
      <c r="AA17" s="125"/>
      <c r="AB17" s="125"/>
      <c r="AC17" s="125"/>
      <c r="AD17" s="125"/>
      <c r="AE17" s="125"/>
      <c r="AF17" s="126"/>
      <c r="AG17" s="125"/>
      <c r="AH17" s="125"/>
      <c r="AI17" s="125"/>
      <c r="AJ17" s="125"/>
      <c r="AK17" s="125"/>
      <c r="AL17" s="126"/>
      <c r="AM17" s="125"/>
    </row>
    <row r="18" spans="1:39" ht="21" x14ac:dyDescent="0.4">
      <c r="A18" s="96">
        <v>46189</v>
      </c>
      <c r="B18" s="97">
        <v>0.66666666666666663</v>
      </c>
      <c r="C18" s="98" t="s">
        <v>7</v>
      </c>
      <c r="D18" s="99">
        <v>3</v>
      </c>
      <c r="E18" s="99" t="s">
        <v>1</v>
      </c>
      <c r="F18" s="99">
        <v>1</v>
      </c>
      <c r="G18" s="98" t="s">
        <v>20</v>
      </c>
      <c r="H18" s="49">
        <f t="shared" si="5"/>
        <v>162020630</v>
      </c>
      <c r="I18" s="30">
        <f t="shared" si="3"/>
        <v>10</v>
      </c>
      <c r="J18" s="7" t="s">
        <v>23</v>
      </c>
      <c r="K18" s="7">
        <f>SUM(RENAN!$O$2:$O$105)</f>
        <v>162</v>
      </c>
      <c r="L18" s="11">
        <f>COUNTIF(RENAN!$O$2:'RENAN'!$O$105,"9")</f>
        <v>1</v>
      </c>
      <c r="M18" s="11">
        <f>COUNTIF(RENAN!$O$2:'RENAN'!$O$105,"6")</f>
        <v>9</v>
      </c>
      <c r="N18" s="11">
        <f>COUNTIF(RENAN!$O$2:'RENAN'!$O$105,"4")</f>
        <v>15</v>
      </c>
      <c r="O18" s="11">
        <f>COUNTIF(RENAN!$O$2:'RENAN'!$O$105,"3")</f>
        <v>13</v>
      </c>
      <c r="P18" s="31">
        <f>COUNTIF(RENAN!$O$2:'RENAN'!$O$105,"0")</f>
        <v>34</v>
      </c>
      <c r="Q18" s="21">
        <f>L18*9+M18*6+N18*4+O18*3</f>
        <v>162</v>
      </c>
      <c r="R18" s="12" t="str">
        <f t="shared" si="0"/>
        <v>França</v>
      </c>
      <c r="S18" s="9">
        <f t="shared" si="1"/>
        <v>3</v>
      </c>
      <c r="T18" s="9">
        <f t="shared" si="2"/>
        <v>1</v>
      </c>
      <c r="AA18" s="125"/>
      <c r="AB18" s="125"/>
      <c r="AC18" s="125"/>
      <c r="AD18" s="125"/>
      <c r="AE18" s="125"/>
      <c r="AF18" s="126"/>
      <c r="AG18" s="125"/>
      <c r="AH18" s="125"/>
      <c r="AI18" s="125"/>
      <c r="AJ18" s="125"/>
      <c r="AK18" s="125"/>
      <c r="AL18" s="126"/>
      <c r="AM18" s="125"/>
    </row>
    <row r="19" spans="1:39" ht="21" x14ac:dyDescent="0.4">
      <c r="A19" s="96">
        <v>46189</v>
      </c>
      <c r="B19" s="97">
        <v>0.79166666666666663</v>
      </c>
      <c r="C19" s="98" t="s">
        <v>122</v>
      </c>
      <c r="D19" s="99">
        <v>1</v>
      </c>
      <c r="E19" s="99" t="s">
        <v>1</v>
      </c>
      <c r="F19" s="99">
        <v>4</v>
      </c>
      <c r="G19" s="98" t="s">
        <v>123</v>
      </c>
      <c r="H19" s="49">
        <f t="shared" si="5"/>
        <v>215097280</v>
      </c>
      <c r="I19" s="30">
        <f t="shared" si="3"/>
        <v>2</v>
      </c>
      <c r="J19" s="7" t="s">
        <v>96</v>
      </c>
      <c r="K19" s="7">
        <f>SUM(SOARES!$O$2:$O$105)</f>
        <v>215</v>
      </c>
      <c r="L19" s="11">
        <f>COUNTIF(SOARES!$O$2:'SOARES'!$O$105,"9")</f>
        <v>9</v>
      </c>
      <c r="M19" s="11">
        <f>COUNTIF(SOARES!$O$2:'SOARES'!$O$105,"6")</f>
        <v>6</v>
      </c>
      <c r="N19" s="11">
        <f>COUNTIF(SOARES!$O$2:'SOARES'!$O$105,"4")</f>
        <v>11</v>
      </c>
      <c r="O19" s="11">
        <f>COUNTIF(SOARES!$O$2:'SOARES'!$O$105,"3")</f>
        <v>18</v>
      </c>
      <c r="P19" s="31">
        <f>COUNTIF(SOARES!$O$2:'SOARES'!$O$105,"0")</f>
        <v>28</v>
      </c>
      <c r="Q19" s="21">
        <f>L19*9+M19*6+N19*4+O19*3</f>
        <v>215</v>
      </c>
      <c r="R19" s="12" t="str">
        <f t="shared" si="0"/>
        <v>Noruega</v>
      </c>
      <c r="S19" s="9">
        <f t="shared" si="1"/>
        <v>4</v>
      </c>
      <c r="T19" s="9">
        <f t="shared" si="2"/>
        <v>1</v>
      </c>
      <c r="AA19" s="125"/>
      <c r="AB19" s="125"/>
      <c r="AC19" s="125"/>
      <c r="AD19" s="125"/>
      <c r="AE19" s="125"/>
      <c r="AF19" s="126"/>
      <c r="AG19" s="125"/>
      <c r="AH19" s="125"/>
      <c r="AI19" s="125"/>
      <c r="AJ19" s="125"/>
      <c r="AK19" s="125"/>
      <c r="AL19" s="126"/>
      <c r="AM19" s="125"/>
    </row>
    <row r="20" spans="1:39" ht="21.6" thickBot="1" x14ac:dyDescent="0.45">
      <c r="A20" s="96">
        <v>46189</v>
      </c>
      <c r="B20" s="97">
        <v>0.91666666666666663</v>
      </c>
      <c r="C20" s="98" t="s">
        <v>9</v>
      </c>
      <c r="D20" s="99">
        <v>3</v>
      </c>
      <c r="E20" s="99" t="s">
        <v>1</v>
      </c>
      <c r="F20" s="99">
        <v>0</v>
      </c>
      <c r="G20" s="98" t="s">
        <v>124</v>
      </c>
      <c r="H20" s="49">
        <f t="shared" si="5"/>
        <v>236100290</v>
      </c>
      <c r="I20" s="32">
        <f t="shared" si="3"/>
        <v>1</v>
      </c>
      <c r="J20" s="33" t="s">
        <v>95</v>
      </c>
      <c r="K20" s="33">
        <f>SUM(MARQUES!$O$2:$O$105)</f>
        <v>236</v>
      </c>
      <c r="L20" s="34">
        <f>COUNTIF(MARQUES!$O$2:'MARQUES'!$O$105,"9")</f>
        <v>9</v>
      </c>
      <c r="M20" s="34">
        <f>COUNTIF(MARQUES!$O$2:'MARQUES'!$O$105,"6")</f>
        <v>9</v>
      </c>
      <c r="N20" s="34">
        <f>COUNTIF(MARQUES!$O$2:'MARQUES'!$O$105,"4")</f>
        <v>11</v>
      </c>
      <c r="O20" s="34">
        <f>COUNTIF(MARQUES!$O$2:'MARQUES'!$O$105,"3")</f>
        <v>19</v>
      </c>
      <c r="P20" s="35">
        <f>COUNTIF(MARQUES!$O$2:'MARQUES'!$O$105,"0")</f>
        <v>24</v>
      </c>
      <c r="Q20" s="21">
        <f>L20*9+M20*6+N20*4+O20*3</f>
        <v>236</v>
      </c>
      <c r="R20" s="12" t="str">
        <f t="shared" si="0"/>
        <v>Argentina</v>
      </c>
      <c r="S20" s="9">
        <f t="shared" si="1"/>
        <v>3</v>
      </c>
      <c r="T20" s="9">
        <f t="shared" si="2"/>
        <v>0</v>
      </c>
      <c r="AA20" s="125"/>
      <c r="AB20" s="125"/>
      <c r="AC20" s="125"/>
      <c r="AD20" s="125"/>
      <c r="AE20" s="125"/>
      <c r="AF20" s="126"/>
      <c r="AG20" s="125"/>
      <c r="AH20" s="125"/>
      <c r="AI20" s="125"/>
      <c r="AJ20" s="125"/>
      <c r="AK20" s="125"/>
      <c r="AL20" s="126"/>
      <c r="AM20" s="125"/>
    </row>
    <row r="21" spans="1:39" ht="16.8" thickTop="1" thickBot="1" x14ac:dyDescent="0.35">
      <c r="A21" s="96">
        <v>46190</v>
      </c>
      <c r="B21" s="97">
        <v>4.1666666666666664E-2</v>
      </c>
      <c r="C21" s="98" t="s">
        <v>125</v>
      </c>
      <c r="D21" s="99">
        <v>3</v>
      </c>
      <c r="E21" s="99" t="s">
        <v>1</v>
      </c>
      <c r="F21" s="99">
        <v>1</v>
      </c>
      <c r="G21" s="98" t="s">
        <v>126</v>
      </c>
      <c r="H21" s="48"/>
      <c r="R21" s="12" t="str">
        <f t="shared" si="0"/>
        <v>Áustria</v>
      </c>
      <c r="S21" s="9">
        <f t="shared" si="1"/>
        <v>3</v>
      </c>
      <c r="T21" s="9">
        <f t="shared" si="2"/>
        <v>1</v>
      </c>
      <c r="AA21" s="125"/>
      <c r="AB21" s="125"/>
      <c r="AC21" s="125"/>
      <c r="AD21" s="125"/>
      <c r="AE21" s="125"/>
      <c r="AF21" s="126"/>
      <c r="AG21" s="125"/>
      <c r="AH21" s="125"/>
      <c r="AI21" s="125"/>
      <c r="AJ21" s="125"/>
      <c r="AK21" s="125"/>
      <c r="AL21" s="126"/>
      <c r="AM21" s="125"/>
    </row>
    <row r="22" spans="1:39" ht="22.2" thickTop="1" thickBot="1" x14ac:dyDescent="0.45">
      <c r="A22" s="96">
        <v>46190</v>
      </c>
      <c r="B22" s="97">
        <v>0.58333333333333337</v>
      </c>
      <c r="C22" s="98" t="s">
        <v>5</v>
      </c>
      <c r="D22" s="99">
        <v>1</v>
      </c>
      <c r="E22" s="99" t="s">
        <v>1</v>
      </c>
      <c r="F22" s="99">
        <v>1</v>
      </c>
      <c r="G22" s="98" t="s">
        <v>127</v>
      </c>
      <c r="H22" s="48"/>
      <c r="I22" s="128" t="s">
        <v>108</v>
      </c>
      <c r="J22" s="129"/>
      <c r="K22" s="129"/>
      <c r="L22" s="129"/>
      <c r="M22" s="129"/>
      <c r="N22" s="129"/>
      <c r="O22" s="129"/>
      <c r="P22" s="130"/>
      <c r="R22" s="12" t="str">
        <f t="shared" si="0"/>
        <v>EMPATE</v>
      </c>
      <c r="S22" s="9">
        <f t="shared" si="1"/>
        <v>1</v>
      </c>
      <c r="T22" s="9">
        <f t="shared" si="2"/>
        <v>1</v>
      </c>
      <c r="AA22" s="125"/>
      <c r="AB22" s="125"/>
      <c r="AC22" s="125"/>
      <c r="AD22" s="125"/>
      <c r="AE22" s="125"/>
      <c r="AF22" s="126"/>
      <c r="AG22" s="125"/>
      <c r="AH22" s="125"/>
      <c r="AI22" s="125"/>
      <c r="AJ22" s="125"/>
      <c r="AK22" s="125"/>
      <c r="AL22" s="126"/>
      <c r="AM22" s="125"/>
    </row>
    <row r="23" spans="1:39" ht="22.2" thickTop="1" thickBot="1" x14ac:dyDescent="0.45">
      <c r="A23" s="96">
        <v>46190</v>
      </c>
      <c r="B23" s="97">
        <v>0.70833333333333337</v>
      </c>
      <c r="C23" s="98" t="s">
        <v>18</v>
      </c>
      <c r="D23" s="99">
        <v>4</v>
      </c>
      <c r="E23" s="99" t="s">
        <v>1</v>
      </c>
      <c r="F23" s="99">
        <v>2</v>
      </c>
      <c r="G23" s="98" t="s">
        <v>10</v>
      </c>
      <c r="H23" s="48"/>
      <c r="I23" s="107" t="s">
        <v>24</v>
      </c>
      <c r="J23" s="108" t="s">
        <v>25</v>
      </c>
      <c r="K23" s="108" t="s">
        <v>49</v>
      </c>
      <c r="L23" s="109">
        <v>9</v>
      </c>
      <c r="M23" s="109">
        <v>6</v>
      </c>
      <c r="N23" s="109">
        <v>4</v>
      </c>
      <c r="O23" s="109">
        <v>3</v>
      </c>
      <c r="P23" s="110">
        <v>0</v>
      </c>
      <c r="R23" s="12" t="str">
        <f t="shared" ref="R23:R70" si="6">IF(D23="","",IF(D23&gt;F23,C23,IF(F23&gt;D23,G23,"EMPATE")))</f>
        <v>Inglaterra</v>
      </c>
      <c r="S23" s="9">
        <f t="shared" ref="S23:S70" si="7">IF(D23="","",IF(D23&gt;F23,D23,IF(F23&gt;D23,F23,D23)))</f>
        <v>4</v>
      </c>
      <c r="T23" s="9">
        <f t="shared" ref="T23:T70" si="8">IF(D23="","",IF(D23&lt;F23,D23,IF(F23&lt;D23,F23,D23)))</f>
        <v>2</v>
      </c>
      <c r="AA23" s="125"/>
      <c r="AB23" s="125"/>
      <c r="AC23" s="125"/>
      <c r="AD23" s="125"/>
      <c r="AE23" s="125"/>
      <c r="AF23" s="126"/>
      <c r="AG23" s="125"/>
      <c r="AH23" s="125"/>
      <c r="AI23" s="125"/>
      <c r="AJ23" s="125"/>
      <c r="AK23" s="125"/>
      <c r="AL23" s="126"/>
      <c r="AM23" s="125"/>
    </row>
    <row r="24" spans="1:39" ht="21.6" thickTop="1" x14ac:dyDescent="0.4">
      <c r="A24" s="96">
        <v>46190</v>
      </c>
      <c r="B24" s="97">
        <v>0.83333333333333337</v>
      </c>
      <c r="C24" s="98" t="s">
        <v>106</v>
      </c>
      <c r="D24" s="99">
        <v>1</v>
      </c>
      <c r="E24" s="99" t="s">
        <v>1</v>
      </c>
      <c r="F24" s="99">
        <v>0</v>
      </c>
      <c r="G24" s="98" t="s">
        <v>130</v>
      </c>
      <c r="H24" s="48"/>
      <c r="I24" s="26">
        <v>1</v>
      </c>
      <c r="J24" s="27" t="s">
        <v>95</v>
      </c>
      <c r="K24" s="27">
        <v>236</v>
      </c>
      <c r="L24" s="28">
        <v>9</v>
      </c>
      <c r="M24" s="28">
        <v>9</v>
      </c>
      <c r="N24" s="28">
        <v>11</v>
      </c>
      <c r="O24" s="28">
        <v>19</v>
      </c>
      <c r="P24" s="29">
        <v>24</v>
      </c>
      <c r="Q24">
        <f>K24-K25</f>
        <v>21</v>
      </c>
      <c r="R24" s="12" t="str">
        <f t="shared" si="6"/>
        <v>Gana</v>
      </c>
      <c r="S24" s="9">
        <f t="shared" si="7"/>
        <v>1</v>
      </c>
      <c r="T24" s="9">
        <f t="shared" si="8"/>
        <v>0</v>
      </c>
      <c r="AA24" s="125"/>
      <c r="AB24" s="125"/>
      <c r="AC24" s="125"/>
      <c r="AD24" s="125"/>
      <c r="AE24" s="125"/>
      <c r="AF24" s="126"/>
      <c r="AG24" s="125"/>
      <c r="AH24" s="125"/>
      <c r="AI24" s="125"/>
      <c r="AJ24" s="125"/>
      <c r="AK24" s="125"/>
      <c r="AL24" s="126"/>
      <c r="AM24" s="125"/>
    </row>
    <row r="25" spans="1:39" ht="21" x14ac:dyDescent="0.4">
      <c r="A25" s="96">
        <v>46190</v>
      </c>
      <c r="B25" s="97">
        <v>0.95833333333333337</v>
      </c>
      <c r="C25" s="98" t="s">
        <v>128</v>
      </c>
      <c r="D25" s="99">
        <v>1</v>
      </c>
      <c r="E25" s="99" t="s">
        <v>1</v>
      </c>
      <c r="F25" s="99">
        <v>3</v>
      </c>
      <c r="G25" s="98" t="s">
        <v>129</v>
      </c>
      <c r="H25" s="48"/>
      <c r="I25" s="30">
        <v>2</v>
      </c>
      <c r="J25" s="7" t="s">
        <v>96</v>
      </c>
      <c r="K25" s="7">
        <v>215</v>
      </c>
      <c r="L25" s="11">
        <v>9</v>
      </c>
      <c r="M25" s="11">
        <v>6</v>
      </c>
      <c r="N25" s="11">
        <v>11</v>
      </c>
      <c r="O25" s="11">
        <v>18</v>
      </c>
      <c r="P25" s="31">
        <v>28</v>
      </c>
      <c r="Q25">
        <f t="shared" ref="Q25:Q32" si="9">K25-K26</f>
        <v>7</v>
      </c>
      <c r="R25" s="12" t="str">
        <f t="shared" si="6"/>
        <v>Colômbia</v>
      </c>
      <c r="S25" s="9">
        <f t="shared" si="7"/>
        <v>3</v>
      </c>
      <c r="T25" s="9">
        <f t="shared" si="8"/>
        <v>1</v>
      </c>
      <c r="AA25" s="125"/>
      <c r="AB25" s="125"/>
      <c r="AC25" s="125"/>
      <c r="AD25" s="125"/>
      <c r="AE25" s="125"/>
      <c r="AF25" s="126"/>
      <c r="AG25" s="125"/>
      <c r="AH25" s="125"/>
      <c r="AI25" s="125"/>
      <c r="AJ25" s="125"/>
      <c r="AK25" s="125"/>
      <c r="AL25" s="126"/>
      <c r="AM25" s="125"/>
    </row>
    <row r="26" spans="1:39" ht="21" x14ac:dyDescent="0.4">
      <c r="A26" s="113">
        <v>46191</v>
      </c>
      <c r="B26" s="114">
        <v>0.54166666666666663</v>
      </c>
      <c r="C26" s="115" t="s">
        <v>111</v>
      </c>
      <c r="D26" s="116">
        <v>1</v>
      </c>
      <c r="E26" s="116" t="s">
        <v>1</v>
      </c>
      <c r="F26" s="116">
        <v>1</v>
      </c>
      <c r="G26" s="115" t="s">
        <v>88</v>
      </c>
      <c r="H26" s="48"/>
      <c r="I26" s="30">
        <v>3</v>
      </c>
      <c r="J26" s="7" t="s">
        <v>21</v>
      </c>
      <c r="K26" s="7">
        <v>208</v>
      </c>
      <c r="L26" s="11">
        <v>5</v>
      </c>
      <c r="M26" s="11">
        <v>12</v>
      </c>
      <c r="N26" s="11">
        <v>16</v>
      </c>
      <c r="O26" s="11">
        <v>9</v>
      </c>
      <c r="P26" s="31">
        <v>30</v>
      </c>
      <c r="Q26">
        <f t="shared" si="9"/>
        <v>5</v>
      </c>
      <c r="R26" s="12" t="str">
        <f t="shared" si="6"/>
        <v>EMPATE</v>
      </c>
      <c r="S26" s="9">
        <f t="shared" si="7"/>
        <v>1</v>
      </c>
      <c r="T26" s="9">
        <f t="shared" si="8"/>
        <v>1</v>
      </c>
      <c r="AA26" s="125"/>
      <c r="AB26" s="125"/>
      <c r="AC26" s="125"/>
      <c r="AD26" s="125"/>
      <c r="AE26" s="125"/>
      <c r="AF26" s="126"/>
      <c r="AG26" s="125"/>
      <c r="AH26" s="125"/>
      <c r="AI26" s="125"/>
      <c r="AJ26" s="125"/>
      <c r="AK26" s="125"/>
      <c r="AL26" s="126"/>
      <c r="AM26" s="125"/>
    </row>
    <row r="27" spans="1:39" ht="21" x14ac:dyDescent="0.4">
      <c r="A27" s="113">
        <v>46191</v>
      </c>
      <c r="B27" s="114">
        <v>0.66666666666666663</v>
      </c>
      <c r="C27" s="115" t="s">
        <v>72</v>
      </c>
      <c r="D27" s="116">
        <v>4</v>
      </c>
      <c r="E27" s="116" t="s">
        <v>1</v>
      </c>
      <c r="F27" s="116">
        <v>1</v>
      </c>
      <c r="G27" s="115" t="s">
        <v>112</v>
      </c>
      <c r="H27" s="48"/>
      <c r="I27" s="30">
        <v>4</v>
      </c>
      <c r="J27" s="7" t="s">
        <v>94</v>
      </c>
      <c r="K27" s="7">
        <v>203</v>
      </c>
      <c r="L27" s="11">
        <v>5</v>
      </c>
      <c r="M27" s="11">
        <v>10</v>
      </c>
      <c r="N27" s="11">
        <v>11</v>
      </c>
      <c r="O27" s="11">
        <v>18</v>
      </c>
      <c r="P27" s="31">
        <v>28</v>
      </c>
      <c r="Q27">
        <f t="shared" si="9"/>
        <v>11</v>
      </c>
      <c r="R27" s="12" t="str">
        <f t="shared" si="6"/>
        <v>Suíça</v>
      </c>
      <c r="S27" s="9">
        <f t="shared" si="7"/>
        <v>4</v>
      </c>
      <c r="T27" s="9">
        <f t="shared" si="8"/>
        <v>1</v>
      </c>
      <c r="AA27" s="125"/>
      <c r="AB27" s="125"/>
      <c r="AC27" s="125"/>
      <c r="AD27" s="125"/>
      <c r="AE27" s="125"/>
      <c r="AF27" s="126"/>
      <c r="AG27" s="125"/>
      <c r="AH27" s="125"/>
      <c r="AI27" s="125"/>
      <c r="AJ27" s="125"/>
      <c r="AK27" s="125"/>
      <c r="AL27" s="126"/>
      <c r="AM27" s="125"/>
    </row>
    <row r="28" spans="1:39" ht="21" x14ac:dyDescent="0.4">
      <c r="A28" s="113">
        <v>46191</v>
      </c>
      <c r="B28" s="114">
        <v>0.79166666666666663</v>
      </c>
      <c r="C28" s="115" t="s">
        <v>105</v>
      </c>
      <c r="D28" s="116">
        <v>6</v>
      </c>
      <c r="E28" s="116" t="s">
        <v>1</v>
      </c>
      <c r="F28" s="116">
        <v>0</v>
      </c>
      <c r="G28" s="115" t="s">
        <v>97</v>
      </c>
      <c r="H28" s="48"/>
      <c r="I28" s="30">
        <v>5</v>
      </c>
      <c r="J28" s="7" t="s">
        <v>109</v>
      </c>
      <c r="K28" s="7">
        <v>192</v>
      </c>
      <c r="L28" s="11">
        <v>5</v>
      </c>
      <c r="M28" s="11">
        <v>6</v>
      </c>
      <c r="N28" s="11">
        <v>15</v>
      </c>
      <c r="O28" s="11">
        <v>17</v>
      </c>
      <c r="P28" s="31">
        <v>29</v>
      </c>
      <c r="Q28">
        <f t="shared" si="9"/>
        <v>1</v>
      </c>
      <c r="R28" s="12" t="str">
        <f t="shared" si="6"/>
        <v>Canadá</v>
      </c>
      <c r="S28" s="9">
        <f t="shared" si="7"/>
        <v>6</v>
      </c>
      <c r="T28" s="9">
        <f t="shared" si="8"/>
        <v>0</v>
      </c>
      <c r="AA28" s="125"/>
      <c r="AB28" s="125"/>
      <c r="AC28" s="125"/>
      <c r="AD28" s="125"/>
      <c r="AE28" s="125"/>
      <c r="AF28" s="126"/>
      <c r="AG28" s="125"/>
      <c r="AH28" s="125"/>
      <c r="AI28" s="125"/>
      <c r="AJ28" s="125"/>
      <c r="AK28" s="125"/>
      <c r="AL28" s="126"/>
      <c r="AM28" s="125"/>
    </row>
    <row r="29" spans="1:39" ht="21" x14ac:dyDescent="0.4">
      <c r="A29" s="113">
        <v>46191</v>
      </c>
      <c r="B29" s="114">
        <v>0.91666666666666663</v>
      </c>
      <c r="C29" s="115" t="s">
        <v>13</v>
      </c>
      <c r="D29" s="116">
        <v>1</v>
      </c>
      <c r="E29" s="116" t="s">
        <v>1</v>
      </c>
      <c r="F29" s="116">
        <v>0</v>
      </c>
      <c r="G29" s="115" t="s">
        <v>15</v>
      </c>
      <c r="H29" s="48"/>
      <c r="I29" s="30">
        <v>6</v>
      </c>
      <c r="J29" s="7" t="s">
        <v>22</v>
      </c>
      <c r="K29" s="7">
        <v>191</v>
      </c>
      <c r="L29" s="11">
        <v>7</v>
      </c>
      <c r="M29" s="11">
        <v>3</v>
      </c>
      <c r="N29" s="11">
        <v>8</v>
      </c>
      <c r="O29" s="11">
        <v>26</v>
      </c>
      <c r="P29" s="31">
        <v>28</v>
      </c>
      <c r="Q29">
        <f t="shared" si="9"/>
        <v>14</v>
      </c>
      <c r="R29" s="12" t="str">
        <f t="shared" si="6"/>
        <v>México</v>
      </c>
      <c r="S29" s="9">
        <f t="shared" si="7"/>
        <v>1</v>
      </c>
      <c r="T29" s="9">
        <f t="shared" si="8"/>
        <v>0</v>
      </c>
      <c r="AA29" s="125"/>
      <c r="AB29" s="125"/>
      <c r="AC29" s="125"/>
      <c r="AD29" s="125"/>
      <c r="AE29" s="125"/>
      <c r="AF29" s="126"/>
      <c r="AG29" s="125"/>
      <c r="AH29" s="125"/>
      <c r="AI29" s="125"/>
      <c r="AJ29" s="125"/>
      <c r="AK29" s="125"/>
      <c r="AL29" s="126"/>
      <c r="AM29" s="125"/>
    </row>
    <row r="30" spans="1:39" ht="21" x14ac:dyDescent="0.4">
      <c r="A30" s="113">
        <v>46192</v>
      </c>
      <c r="B30" s="114">
        <v>0.66666666666666663</v>
      </c>
      <c r="C30" s="115" t="s">
        <v>104</v>
      </c>
      <c r="D30" s="116">
        <v>2</v>
      </c>
      <c r="E30" s="116" t="s">
        <v>1</v>
      </c>
      <c r="F30" s="116">
        <v>0</v>
      </c>
      <c r="G30" s="115" t="s">
        <v>8</v>
      </c>
      <c r="H30" s="48"/>
      <c r="I30" s="30">
        <v>7</v>
      </c>
      <c r="J30" s="7" t="s">
        <v>93</v>
      </c>
      <c r="K30" s="7">
        <v>177</v>
      </c>
      <c r="L30" s="11">
        <v>6</v>
      </c>
      <c r="M30" s="11">
        <v>3</v>
      </c>
      <c r="N30" s="11">
        <v>15</v>
      </c>
      <c r="O30" s="11">
        <v>15</v>
      </c>
      <c r="P30" s="31">
        <v>33</v>
      </c>
      <c r="Q30">
        <f t="shared" si="9"/>
        <v>3</v>
      </c>
      <c r="R30" s="12" t="str">
        <f t="shared" si="6"/>
        <v>Estados Unidos</v>
      </c>
      <c r="S30" s="9">
        <f t="shared" si="7"/>
        <v>2</v>
      </c>
      <c r="T30" s="9">
        <f t="shared" si="8"/>
        <v>0</v>
      </c>
      <c r="AA30" s="125"/>
      <c r="AB30" s="125"/>
      <c r="AC30" s="125"/>
      <c r="AD30" s="125"/>
      <c r="AE30" s="125"/>
      <c r="AF30" s="126"/>
      <c r="AG30" s="125"/>
      <c r="AH30" s="125"/>
      <c r="AI30" s="125"/>
      <c r="AJ30" s="125"/>
      <c r="AK30" s="125"/>
      <c r="AL30" s="126"/>
      <c r="AM30" s="125"/>
    </row>
    <row r="31" spans="1:39" ht="21" x14ac:dyDescent="0.4">
      <c r="A31" s="113">
        <v>46192</v>
      </c>
      <c r="B31" s="114">
        <v>0.79166666666666663</v>
      </c>
      <c r="C31" s="115" t="s">
        <v>114</v>
      </c>
      <c r="D31" s="116">
        <v>0</v>
      </c>
      <c r="E31" s="116" t="s">
        <v>1</v>
      </c>
      <c r="F31" s="116">
        <v>1</v>
      </c>
      <c r="G31" s="115" t="s">
        <v>4</v>
      </c>
      <c r="H31" s="48"/>
      <c r="I31" s="30">
        <v>8</v>
      </c>
      <c r="J31" s="7" t="s">
        <v>110</v>
      </c>
      <c r="K31" s="7">
        <v>174</v>
      </c>
      <c r="L31" s="11">
        <v>7</v>
      </c>
      <c r="M31" s="11">
        <v>3</v>
      </c>
      <c r="N31" s="11">
        <v>12</v>
      </c>
      <c r="O31" s="11">
        <v>15</v>
      </c>
      <c r="P31" s="31">
        <v>35</v>
      </c>
      <c r="Q31">
        <f t="shared" si="9"/>
        <v>8</v>
      </c>
      <c r="R31" s="12" t="str">
        <f t="shared" si="6"/>
        <v>Marrocos</v>
      </c>
      <c r="S31" s="9">
        <f t="shared" si="7"/>
        <v>1</v>
      </c>
      <c r="T31" s="9">
        <f t="shared" si="8"/>
        <v>0</v>
      </c>
      <c r="AA31" s="125"/>
      <c r="AB31" s="125"/>
      <c r="AC31" s="125"/>
      <c r="AD31" s="125"/>
      <c r="AE31" s="125"/>
      <c r="AF31" s="126"/>
      <c r="AG31" s="125"/>
      <c r="AH31" s="125"/>
      <c r="AI31" s="125"/>
      <c r="AJ31" s="125"/>
      <c r="AK31" s="125"/>
      <c r="AL31" s="126"/>
      <c r="AM31" s="125"/>
    </row>
    <row r="32" spans="1:39" ht="21" x14ac:dyDescent="0.4">
      <c r="A32" s="113">
        <v>46192</v>
      </c>
      <c r="B32" s="114">
        <v>0.89583333333333337</v>
      </c>
      <c r="C32" s="115" t="s">
        <v>11</v>
      </c>
      <c r="D32" s="116">
        <v>3</v>
      </c>
      <c r="E32" s="116" t="s">
        <v>1</v>
      </c>
      <c r="F32" s="116">
        <v>0</v>
      </c>
      <c r="G32" s="115" t="s">
        <v>113</v>
      </c>
      <c r="H32" s="48"/>
      <c r="I32" s="30">
        <v>9</v>
      </c>
      <c r="J32" s="7" t="s">
        <v>92</v>
      </c>
      <c r="K32" s="7">
        <v>166</v>
      </c>
      <c r="L32" s="11">
        <v>5</v>
      </c>
      <c r="M32" s="11">
        <v>8</v>
      </c>
      <c r="N32" s="11">
        <v>7</v>
      </c>
      <c r="O32" s="11">
        <v>15</v>
      </c>
      <c r="P32" s="31">
        <v>37</v>
      </c>
      <c r="Q32">
        <f t="shared" si="9"/>
        <v>4</v>
      </c>
      <c r="R32" s="12" t="str">
        <f t="shared" si="6"/>
        <v>Brasil</v>
      </c>
      <c r="S32" s="9">
        <f t="shared" si="7"/>
        <v>3</v>
      </c>
      <c r="T32" s="9">
        <f t="shared" si="8"/>
        <v>0</v>
      </c>
      <c r="AA32" s="125"/>
      <c r="AB32" s="125"/>
      <c r="AC32" s="125"/>
      <c r="AD32" s="125"/>
      <c r="AE32" s="125"/>
      <c r="AF32" s="126"/>
      <c r="AG32" s="125"/>
      <c r="AH32" s="125"/>
      <c r="AI32" s="125"/>
      <c r="AJ32" s="125"/>
      <c r="AK32" s="125"/>
      <c r="AL32" s="126"/>
      <c r="AM32" s="125"/>
    </row>
    <row r="33" spans="1:39" ht="21.6" thickBot="1" x14ac:dyDescent="0.45">
      <c r="A33" s="113">
        <v>46193</v>
      </c>
      <c r="B33" s="114">
        <v>0</v>
      </c>
      <c r="C33" s="115" t="s">
        <v>116</v>
      </c>
      <c r="D33" s="116">
        <v>0</v>
      </c>
      <c r="E33" s="116" t="s">
        <v>1</v>
      </c>
      <c r="F33" s="116">
        <v>1</v>
      </c>
      <c r="G33" s="115" t="s">
        <v>115</v>
      </c>
      <c r="H33" s="48"/>
      <c r="I33" s="32">
        <v>10</v>
      </c>
      <c r="J33" s="33" t="s">
        <v>23</v>
      </c>
      <c r="K33" s="33">
        <v>162</v>
      </c>
      <c r="L33" s="34">
        <v>1</v>
      </c>
      <c r="M33" s="34">
        <v>9</v>
      </c>
      <c r="N33" s="34">
        <v>15</v>
      </c>
      <c r="O33" s="34">
        <v>13</v>
      </c>
      <c r="P33" s="35">
        <v>34</v>
      </c>
      <c r="R33" s="12" t="str">
        <f t="shared" si="6"/>
        <v>Paraguai</v>
      </c>
      <c r="S33" s="9">
        <f t="shared" si="7"/>
        <v>1</v>
      </c>
      <c r="T33" s="9">
        <f t="shared" si="8"/>
        <v>0</v>
      </c>
      <c r="AA33" s="125"/>
      <c r="AB33" s="125"/>
      <c r="AC33" s="125"/>
      <c r="AD33" s="125"/>
      <c r="AE33" s="125"/>
      <c r="AF33" s="126"/>
      <c r="AG33" s="125"/>
      <c r="AH33" s="125"/>
      <c r="AI33" s="125"/>
      <c r="AJ33" s="125"/>
      <c r="AK33" s="125"/>
      <c r="AL33" s="126"/>
      <c r="AM33" s="125"/>
    </row>
    <row r="34" spans="1:39" ht="16.2" thickTop="1" x14ac:dyDescent="0.3">
      <c r="A34" s="113">
        <v>46193</v>
      </c>
      <c r="B34" s="114">
        <v>0.58333333333333337</v>
      </c>
      <c r="C34" s="115" t="s">
        <v>78</v>
      </c>
      <c r="D34" s="116">
        <v>5</v>
      </c>
      <c r="E34" s="116" t="s">
        <v>1</v>
      </c>
      <c r="F34" s="116">
        <v>1</v>
      </c>
      <c r="G34" s="115" t="s">
        <v>14</v>
      </c>
      <c r="H34" s="48"/>
      <c r="I34" s="5"/>
      <c r="J34" s="5"/>
      <c r="R34" s="12" t="str">
        <f t="shared" si="6"/>
        <v>Holanda</v>
      </c>
      <c r="S34" s="9">
        <f t="shared" si="7"/>
        <v>5</v>
      </c>
      <c r="T34" s="9">
        <f t="shared" si="8"/>
        <v>1</v>
      </c>
      <c r="AA34" s="125"/>
      <c r="AB34" s="125"/>
      <c r="AC34" s="125"/>
      <c r="AD34" s="125"/>
      <c r="AE34" s="125"/>
      <c r="AF34" s="126"/>
      <c r="AG34" s="125"/>
      <c r="AH34" s="125"/>
      <c r="AI34" s="125"/>
      <c r="AJ34" s="125"/>
      <c r="AK34" s="125"/>
      <c r="AL34" s="126"/>
      <c r="AM34" s="125"/>
    </row>
    <row r="35" spans="1:39" ht="21" x14ac:dyDescent="0.4">
      <c r="A35" s="113">
        <v>46193</v>
      </c>
      <c r="B35" s="114">
        <v>0.70833333333333337</v>
      </c>
      <c r="C35" s="115" t="s">
        <v>12</v>
      </c>
      <c r="D35" s="116">
        <v>2</v>
      </c>
      <c r="E35" s="116" t="s">
        <v>1</v>
      </c>
      <c r="F35" s="116">
        <v>1</v>
      </c>
      <c r="G35" s="115" t="s">
        <v>118</v>
      </c>
      <c r="H35" s="48"/>
      <c r="I35" s="20"/>
      <c r="J35" s="95">
        <v>1000</v>
      </c>
      <c r="K35" s="95"/>
      <c r="L35" s="95"/>
      <c r="M35" s="95"/>
      <c r="N35" s="95"/>
      <c r="R35" s="12" t="str">
        <f t="shared" si="6"/>
        <v>Alemanha</v>
      </c>
      <c r="S35" s="9">
        <f t="shared" si="7"/>
        <v>2</v>
      </c>
      <c r="T35" s="9">
        <f t="shared" si="8"/>
        <v>1</v>
      </c>
      <c r="AA35" s="125"/>
      <c r="AB35" s="125"/>
      <c r="AC35" s="125"/>
      <c r="AD35" s="125"/>
      <c r="AE35" s="125"/>
      <c r="AF35" s="126"/>
      <c r="AG35" s="125"/>
      <c r="AH35" s="125"/>
      <c r="AI35" s="125"/>
      <c r="AJ35" s="125"/>
      <c r="AK35" s="125"/>
      <c r="AL35" s="126"/>
      <c r="AM35" s="125"/>
    </row>
    <row r="36" spans="1:39" ht="21" x14ac:dyDescent="0.4">
      <c r="A36" s="113">
        <v>46193</v>
      </c>
      <c r="B36" s="114">
        <v>0.875</v>
      </c>
      <c r="C36" s="115" t="s">
        <v>102</v>
      </c>
      <c r="D36" s="116">
        <v>0</v>
      </c>
      <c r="E36" s="116" t="s">
        <v>1</v>
      </c>
      <c r="F36" s="116">
        <v>0</v>
      </c>
      <c r="G36" s="115" t="s">
        <v>117</v>
      </c>
      <c r="H36" s="48"/>
      <c r="I36" s="20"/>
      <c r="J36" s="95">
        <v>500</v>
      </c>
      <c r="K36" s="95"/>
      <c r="L36" s="95"/>
      <c r="M36" s="95"/>
      <c r="N36" s="95"/>
      <c r="R36" s="12" t="str">
        <f t="shared" si="6"/>
        <v>EMPATE</v>
      </c>
      <c r="S36" s="9">
        <f t="shared" si="7"/>
        <v>0</v>
      </c>
      <c r="T36" s="9">
        <f t="shared" si="8"/>
        <v>0</v>
      </c>
      <c r="AA36" s="125"/>
      <c r="AB36" s="125"/>
      <c r="AC36" s="125"/>
      <c r="AD36" s="125"/>
      <c r="AE36" s="125"/>
      <c r="AF36" s="126"/>
      <c r="AG36" s="125"/>
      <c r="AH36" s="125"/>
      <c r="AI36" s="125"/>
      <c r="AJ36" s="125"/>
      <c r="AK36" s="125"/>
      <c r="AL36" s="126"/>
      <c r="AM36" s="125"/>
    </row>
    <row r="37" spans="1:39" ht="21" x14ac:dyDescent="0.4">
      <c r="A37" s="113">
        <v>46194</v>
      </c>
      <c r="B37" s="114">
        <v>4.1666666666666664E-2</v>
      </c>
      <c r="C37" s="115" t="s">
        <v>17</v>
      </c>
      <c r="D37" s="116">
        <v>0</v>
      </c>
      <c r="E37" s="116" t="s">
        <v>1</v>
      </c>
      <c r="F37" s="116">
        <v>4</v>
      </c>
      <c r="G37" s="115" t="s">
        <v>19</v>
      </c>
      <c r="H37" s="48"/>
      <c r="I37" s="20"/>
      <c r="J37" s="95">
        <v>300</v>
      </c>
      <c r="K37" s="95"/>
      <c r="L37" s="95"/>
      <c r="M37" s="95"/>
      <c r="N37" s="95"/>
      <c r="R37" s="12" t="str">
        <f t="shared" si="6"/>
        <v>Japão</v>
      </c>
      <c r="S37" s="9">
        <f t="shared" si="7"/>
        <v>4</v>
      </c>
      <c r="T37" s="9">
        <f t="shared" si="8"/>
        <v>0</v>
      </c>
      <c r="AA37" s="125"/>
      <c r="AB37" s="125"/>
      <c r="AC37" s="125"/>
      <c r="AD37" s="125"/>
      <c r="AE37" s="125"/>
      <c r="AF37" s="126"/>
      <c r="AG37" s="125"/>
      <c r="AH37" s="125"/>
      <c r="AI37" s="125"/>
      <c r="AJ37" s="125"/>
      <c r="AK37" s="125"/>
      <c r="AL37" s="126"/>
      <c r="AM37" s="125"/>
    </row>
    <row r="38" spans="1:39" ht="15.6" x14ac:dyDescent="0.3">
      <c r="A38" s="113">
        <v>46194</v>
      </c>
      <c r="B38" s="114">
        <v>0.54166666666666663</v>
      </c>
      <c r="C38" s="115" t="s">
        <v>6</v>
      </c>
      <c r="D38" s="116">
        <v>4</v>
      </c>
      <c r="E38" s="116" t="s">
        <v>1</v>
      </c>
      <c r="F38" s="116">
        <v>0</v>
      </c>
      <c r="G38" s="115" t="s">
        <v>2</v>
      </c>
      <c r="H38" s="48"/>
      <c r="I38" s="5"/>
      <c r="J38" s="5"/>
      <c r="R38" s="12" t="str">
        <f t="shared" si="6"/>
        <v>Espanha</v>
      </c>
      <c r="S38" s="9">
        <f t="shared" si="7"/>
        <v>4</v>
      </c>
      <c r="T38" s="9">
        <f t="shared" si="8"/>
        <v>0</v>
      </c>
      <c r="AA38" s="125"/>
      <c r="AB38" s="125"/>
      <c r="AC38" s="125"/>
      <c r="AD38" s="125"/>
      <c r="AE38" s="125"/>
      <c r="AF38" s="126"/>
      <c r="AG38" s="125"/>
      <c r="AH38" s="125"/>
      <c r="AI38" s="125"/>
      <c r="AJ38" s="125"/>
      <c r="AK38" s="125"/>
      <c r="AL38" s="126"/>
      <c r="AM38" s="125"/>
    </row>
    <row r="39" spans="1:39" ht="15.6" x14ac:dyDescent="0.3">
      <c r="A39" s="113">
        <v>46194</v>
      </c>
      <c r="B39" s="114">
        <v>0.66666666666666663</v>
      </c>
      <c r="C39" s="115" t="s">
        <v>16</v>
      </c>
      <c r="D39" s="116">
        <v>0</v>
      </c>
      <c r="E39" s="116" t="s">
        <v>1</v>
      </c>
      <c r="F39" s="116">
        <v>0</v>
      </c>
      <c r="G39" s="115" t="s">
        <v>103</v>
      </c>
      <c r="H39" s="48"/>
      <c r="I39" s="5"/>
      <c r="J39" s="5"/>
      <c r="R39" s="12" t="str">
        <f t="shared" si="6"/>
        <v>EMPATE</v>
      </c>
      <c r="S39" s="9">
        <f t="shared" si="7"/>
        <v>0</v>
      </c>
      <c r="T39" s="9">
        <f t="shared" si="8"/>
        <v>0</v>
      </c>
      <c r="AA39" s="125"/>
      <c r="AB39" s="125"/>
      <c r="AC39" s="125"/>
      <c r="AD39" s="125"/>
      <c r="AE39" s="125"/>
      <c r="AF39" s="126"/>
      <c r="AG39" s="125"/>
      <c r="AH39" s="125"/>
      <c r="AI39" s="125"/>
      <c r="AJ39" s="125"/>
      <c r="AK39" s="125"/>
      <c r="AL39" s="126"/>
      <c r="AM39" s="125"/>
    </row>
    <row r="40" spans="1:39" ht="15.6" x14ac:dyDescent="0.3">
      <c r="A40" s="113">
        <v>46194</v>
      </c>
      <c r="B40" s="114">
        <v>0.79166666666666663</v>
      </c>
      <c r="C40" s="115" t="s">
        <v>3</v>
      </c>
      <c r="D40" s="116">
        <v>2</v>
      </c>
      <c r="E40" s="116" t="s">
        <v>1</v>
      </c>
      <c r="F40" s="116">
        <v>2</v>
      </c>
      <c r="G40" s="115" t="s">
        <v>121</v>
      </c>
      <c r="H40" s="48"/>
      <c r="I40" s="5"/>
      <c r="J40" s="5"/>
      <c r="R40" s="12" t="str">
        <f t="shared" si="6"/>
        <v>EMPATE</v>
      </c>
      <c r="S40" s="9">
        <f t="shared" si="7"/>
        <v>2</v>
      </c>
      <c r="T40" s="9">
        <f t="shared" si="8"/>
        <v>2</v>
      </c>
      <c r="AA40" s="125"/>
      <c r="AB40" s="125"/>
      <c r="AC40" s="125"/>
      <c r="AD40" s="125"/>
      <c r="AE40" s="125"/>
      <c r="AF40" s="126"/>
      <c r="AG40" s="125"/>
      <c r="AH40" s="125"/>
      <c r="AI40" s="125"/>
      <c r="AJ40" s="125"/>
      <c r="AK40" s="125"/>
      <c r="AL40" s="126"/>
      <c r="AM40" s="125"/>
    </row>
    <row r="41" spans="1:39" ht="15.6" x14ac:dyDescent="0.3">
      <c r="A41" s="113">
        <v>46194</v>
      </c>
      <c r="B41" s="114">
        <v>0.91666666666666663</v>
      </c>
      <c r="C41" s="115" t="s">
        <v>120</v>
      </c>
      <c r="D41" s="116">
        <v>1</v>
      </c>
      <c r="E41" s="116" t="s">
        <v>1</v>
      </c>
      <c r="F41" s="116">
        <v>3</v>
      </c>
      <c r="G41" s="115" t="s">
        <v>119</v>
      </c>
      <c r="H41" s="48"/>
      <c r="I41" s="5"/>
      <c r="J41" s="5"/>
      <c r="R41" s="12" t="str">
        <f t="shared" si="6"/>
        <v>Egito</v>
      </c>
      <c r="S41" s="9">
        <f t="shared" si="7"/>
        <v>3</v>
      </c>
      <c r="T41" s="9">
        <f t="shared" si="8"/>
        <v>1</v>
      </c>
      <c r="AA41" s="125"/>
      <c r="AB41" s="125"/>
      <c r="AC41" s="125"/>
      <c r="AD41" s="125"/>
      <c r="AE41" s="125"/>
      <c r="AF41" s="126"/>
      <c r="AG41" s="125"/>
      <c r="AH41" s="125"/>
      <c r="AI41" s="125"/>
      <c r="AJ41" s="125"/>
      <c r="AK41" s="125"/>
      <c r="AL41" s="126"/>
      <c r="AM41" s="125"/>
    </row>
    <row r="42" spans="1:39" ht="15.6" x14ac:dyDescent="0.3">
      <c r="A42" s="113">
        <v>46195</v>
      </c>
      <c r="B42" s="114">
        <v>0.58333333333333337</v>
      </c>
      <c r="C42" s="115" t="s">
        <v>9</v>
      </c>
      <c r="D42" s="116">
        <v>2</v>
      </c>
      <c r="E42" s="116" t="s">
        <v>1</v>
      </c>
      <c r="F42" s="116">
        <v>0</v>
      </c>
      <c r="G42" s="115" t="s">
        <v>125</v>
      </c>
      <c r="H42" s="48"/>
      <c r="I42" s="5"/>
      <c r="J42" s="5"/>
      <c r="R42" s="12" t="str">
        <f t="shared" si="6"/>
        <v>Argentina</v>
      </c>
      <c r="S42" s="9">
        <f t="shared" si="7"/>
        <v>2</v>
      </c>
      <c r="T42" s="9">
        <f t="shared" si="8"/>
        <v>0</v>
      </c>
      <c r="AA42" s="125"/>
      <c r="AB42" s="125"/>
      <c r="AC42" s="125"/>
      <c r="AD42" s="125"/>
      <c r="AE42" s="125"/>
      <c r="AF42" s="126"/>
      <c r="AG42" s="125"/>
      <c r="AH42" s="125"/>
      <c r="AI42" s="125"/>
      <c r="AJ42" s="125"/>
      <c r="AK42" s="125"/>
      <c r="AL42" s="126"/>
      <c r="AM42" s="125"/>
    </row>
    <row r="43" spans="1:39" ht="15.6" x14ac:dyDescent="0.3">
      <c r="A43" s="113">
        <v>46195</v>
      </c>
      <c r="B43" s="114">
        <v>0.75</v>
      </c>
      <c r="C43" s="115" t="s">
        <v>7</v>
      </c>
      <c r="D43" s="116">
        <v>3</v>
      </c>
      <c r="E43" s="116" t="s">
        <v>1</v>
      </c>
      <c r="F43" s="116">
        <v>0</v>
      </c>
      <c r="G43" s="115" t="s">
        <v>122</v>
      </c>
      <c r="H43" s="48"/>
      <c r="I43" s="5"/>
      <c r="J43" s="5"/>
      <c r="R43" s="12" t="str">
        <f t="shared" si="6"/>
        <v>França</v>
      </c>
      <c r="S43" s="9">
        <f t="shared" si="7"/>
        <v>3</v>
      </c>
      <c r="T43" s="9">
        <f t="shared" si="8"/>
        <v>0</v>
      </c>
      <c r="AA43" s="125"/>
      <c r="AB43" s="125"/>
      <c r="AC43" s="125"/>
      <c r="AD43" s="125"/>
      <c r="AE43" s="125"/>
      <c r="AF43" s="126"/>
      <c r="AG43" s="125"/>
      <c r="AH43" s="125"/>
      <c r="AI43" s="125"/>
      <c r="AJ43" s="125"/>
      <c r="AK43" s="125"/>
      <c r="AL43" s="126"/>
      <c r="AM43" s="125"/>
    </row>
    <row r="44" spans="1:39" ht="15.6" x14ac:dyDescent="0.3">
      <c r="A44" s="113">
        <v>46195</v>
      </c>
      <c r="B44" s="114">
        <v>0.875</v>
      </c>
      <c r="C44" s="115" t="s">
        <v>123</v>
      </c>
      <c r="D44" s="116">
        <v>3</v>
      </c>
      <c r="E44" s="116" t="s">
        <v>1</v>
      </c>
      <c r="F44" s="116">
        <v>2</v>
      </c>
      <c r="G44" s="115" t="s">
        <v>20</v>
      </c>
      <c r="I44" s="5"/>
      <c r="J44" s="5"/>
      <c r="R44" s="12" t="str">
        <f t="shared" si="6"/>
        <v>Noruega</v>
      </c>
      <c r="S44" s="9">
        <f t="shared" si="7"/>
        <v>3</v>
      </c>
      <c r="T44" s="9">
        <f t="shared" si="8"/>
        <v>2</v>
      </c>
      <c r="AA44" s="125"/>
      <c r="AB44" s="125"/>
      <c r="AC44" s="125"/>
      <c r="AD44" s="125"/>
      <c r="AE44" s="125"/>
      <c r="AF44" s="126"/>
      <c r="AG44" s="125"/>
      <c r="AH44" s="125"/>
      <c r="AI44" s="125"/>
      <c r="AJ44" s="125"/>
      <c r="AK44" s="125"/>
      <c r="AL44" s="126"/>
      <c r="AM44" s="125"/>
    </row>
    <row r="45" spans="1:39" ht="15.6" x14ac:dyDescent="0.3">
      <c r="A45" s="113">
        <v>46196</v>
      </c>
      <c r="B45" s="114">
        <v>0</v>
      </c>
      <c r="C45" s="115" t="s">
        <v>126</v>
      </c>
      <c r="D45" s="116">
        <v>1</v>
      </c>
      <c r="E45" s="116" t="s">
        <v>1</v>
      </c>
      <c r="F45" s="116">
        <v>2</v>
      </c>
      <c r="G45" s="115" t="s">
        <v>124</v>
      </c>
      <c r="I45" s="5"/>
      <c r="J45" s="5"/>
      <c r="R45" s="12" t="str">
        <f t="shared" si="6"/>
        <v>Argélia</v>
      </c>
      <c r="S45" s="9">
        <f t="shared" si="7"/>
        <v>2</v>
      </c>
      <c r="T45" s="9">
        <f t="shared" si="8"/>
        <v>1</v>
      </c>
      <c r="AA45" s="125"/>
      <c r="AB45" s="125"/>
      <c r="AC45" s="125"/>
      <c r="AD45" s="125"/>
      <c r="AE45" s="125"/>
      <c r="AF45" s="126"/>
      <c r="AG45" s="125"/>
      <c r="AH45" s="125"/>
      <c r="AI45" s="125"/>
      <c r="AJ45" s="125"/>
      <c r="AK45" s="125"/>
      <c r="AL45" s="126"/>
      <c r="AM45" s="125"/>
    </row>
    <row r="46" spans="1:39" ht="15" customHeight="1" x14ac:dyDescent="0.3">
      <c r="A46" s="113">
        <v>46196</v>
      </c>
      <c r="B46" s="114">
        <v>0.58333333333333337</v>
      </c>
      <c r="C46" s="115" t="s">
        <v>5</v>
      </c>
      <c r="D46" s="116">
        <v>5</v>
      </c>
      <c r="E46" s="116" t="s">
        <v>1</v>
      </c>
      <c r="F46" s="116">
        <v>0</v>
      </c>
      <c r="G46" s="115" t="s">
        <v>128</v>
      </c>
      <c r="I46" s="5"/>
      <c r="J46" s="5"/>
      <c r="R46" s="12" t="str">
        <f t="shared" si="6"/>
        <v>Portugal</v>
      </c>
      <c r="S46" s="9">
        <f t="shared" si="7"/>
        <v>5</v>
      </c>
      <c r="T46" s="9">
        <f t="shared" si="8"/>
        <v>0</v>
      </c>
      <c r="AA46" s="125"/>
      <c r="AB46" s="125"/>
      <c r="AC46" s="125"/>
      <c r="AD46" s="125"/>
      <c r="AE46" s="125"/>
      <c r="AF46" s="126"/>
      <c r="AG46" s="125"/>
      <c r="AH46" s="125"/>
      <c r="AI46" s="125"/>
      <c r="AJ46" s="125"/>
      <c r="AK46" s="125"/>
      <c r="AL46" s="126"/>
      <c r="AM46" s="125"/>
    </row>
    <row r="47" spans="1:39" ht="15.6" x14ac:dyDescent="0.3">
      <c r="A47" s="113">
        <v>46196</v>
      </c>
      <c r="B47" s="114">
        <v>0.70833333333333337</v>
      </c>
      <c r="C47" s="115" t="s">
        <v>18</v>
      </c>
      <c r="D47" s="116">
        <v>0</v>
      </c>
      <c r="E47" s="116" t="s">
        <v>1</v>
      </c>
      <c r="F47" s="116">
        <v>0</v>
      </c>
      <c r="G47" s="115" t="s">
        <v>106</v>
      </c>
      <c r="I47" s="5"/>
      <c r="J47" s="5"/>
      <c r="R47" s="12" t="str">
        <f t="shared" si="6"/>
        <v>EMPATE</v>
      </c>
      <c r="S47" s="9">
        <f t="shared" si="7"/>
        <v>0</v>
      </c>
      <c r="T47" s="9">
        <f t="shared" si="8"/>
        <v>0</v>
      </c>
      <c r="AA47" s="125"/>
      <c r="AB47" s="125"/>
      <c r="AC47" s="125"/>
      <c r="AD47" s="125"/>
      <c r="AE47" s="125"/>
      <c r="AF47" s="126"/>
      <c r="AG47" s="125"/>
      <c r="AH47" s="125"/>
      <c r="AI47" s="125"/>
      <c r="AJ47" s="125"/>
      <c r="AK47" s="125"/>
      <c r="AL47" s="126"/>
      <c r="AM47" s="125"/>
    </row>
    <row r="48" spans="1:39" ht="15.6" x14ac:dyDescent="0.3">
      <c r="A48" s="113">
        <v>46196</v>
      </c>
      <c r="B48" s="114">
        <v>0.83333333333333337</v>
      </c>
      <c r="C48" s="115" t="s">
        <v>130</v>
      </c>
      <c r="D48" s="116">
        <v>0</v>
      </c>
      <c r="E48" s="116" t="s">
        <v>1</v>
      </c>
      <c r="F48" s="116">
        <v>1</v>
      </c>
      <c r="G48" s="115" t="s">
        <v>10</v>
      </c>
      <c r="H48" s="51"/>
      <c r="I48" s="5"/>
      <c r="J48" s="5"/>
      <c r="R48" s="12" t="str">
        <f t="shared" si="6"/>
        <v>Croácia</v>
      </c>
      <c r="S48" s="9">
        <f t="shared" si="7"/>
        <v>1</v>
      </c>
      <c r="T48" s="9">
        <f t="shared" si="8"/>
        <v>0</v>
      </c>
      <c r="AA48" s="125"/>
      <c r="AB48" s="125"/>
      <c r="AC48" s="125"/>
      <c r="AD48" s="125"/>
      <c r="AE48" s="125"/>
      <c r="AF48" s="126"/>
      <c r="AG48" s="125"/>
      <c r="AH48" s="125"/>
      <c r="AI48" s="125"/>
      <c r="AJ48" s="125"/>
      <c r="AK48" s="125"/>
      <c r="AL48" s="126"/>
      <c r="AM48" s="125"/>
    </row>
    <row r="49" spans="1:39" ht="15.6" x14ac:dyDescent="0.3">
      <c r="A49" s="113">
        <v>46196</v>
      </c>
      <c r="B49" s="114">
        <v>0.95833333333333337</v>
      </c>
      <c r="C49" s="115" t="s">
        <v>129</v>
      </c>
      <c r="D49" s="116">
        <v>1</v>
      </c>
      <c r="E49" s="116" t="s">
        <v>1</v>
      </c>
      <c r="F49" s="116">
        <v>0</v>
      </c>
      <c r="G49" s="115" t="s">
        <v>127</v>
      </c>
      <c r="R49" s="12" t="str">
        <f t="shared" si="6"/>
        <v>Colômbia</v>
      </c>
      <c r="S49" s="9">
        <f t="shared" si="7"/>
        <v>1</v>
      </c>
      <c r="T49" s="9">
        <f t="shared" si="8"/>
        <v>0</v>
      </c>
      <c r="AA49" s="125"/>
      <c r="AB49" s="125"/>
      <c r="AC49" s="125"/>
      <c r="AD49" s="125"/>
      <c r="AE49" s="125"/>
      <c r="AF49" s="126"/>
      <c r="AG49" s="125"/>
      <c r="AH49" s="125"/>
      <c r="AI49" s="125"/>
      <c r="AJ49" s="125"/>
      <c r="AK49" s="125"/>
      <c r="AL49" s="126"/>
      <c r="AM49" s="125"/>
    </row>
    <row r="50" spans="1:39" ht="15.6" x14ac:dyDescent="0.3">
      <c r="A50" s="118">
        <v>46197</v>
      </c>
      <c r="B50" s="119">
        <v>0.66666666666666663</v>
      </c>
      <c r="C50" s="120" t="s">
        <v>72</v>
      </c>
      <c r="D50" s="121">
        <v>2</v>
      </c>
      <c r="E50" s="121" t="s">
        <v>1</v>
      </c>
      <c r="F50" s="121">
        <v>1</v>
      </c>
      <c r="G50" s="120" t="s">
        <v>105</v>
      </c>
      <c r="H50" s="52"/>
      <c r="R50" s="12" t="str">
        <f t="shared" si="6"/>
        <v>Suíça</v>
      </c>
      <c r="S50" s="9">
        <f t="shared" si="7"/>
        <v>2</v>
      </c>
      <c r="T50" s="9">
        <f t="shared" si="8"/>
        <v>1</v>
      </c>
      <c r="AA50" s="125"/>
      <c r="AB50" s="125"/>
      <c r="AC50" s="125"/>
      <c r="AD50" s="125"/>
      <c r="AE50" s="125"/>
      <c r="AF50" s="126"/>
      <c r="AG50" s="125"/>
      <c r="AH50" s="125"/>
      <c r="AI50" s="125"/>
      <c r="AJ50" s="125"/>
      <c r="AK50" s="125"/>
      <c r="AL50" s="126"/>
      <c r="AM50" s="125"/>
    </row>
    <row r="51" spans="1:39" ht="15.6" x14ac:dyDescent="0.3">
      <c r="A51" s="118">
        <v>46197</v>
      </c>
      <c r="B51" s="119">
        <v>0.66666666666666663</v>
      </c>
      <c r="C51" s="120" t="s">
        <v>112</v>
      </c>
      <c r="D51" s="121">
        <v>3</v>
      </c>
      <c r="E51" s="121" t="s">
        <v>1</v>
      </c>
      <c r="F51" s="121">
        <v>1</v>
      </c>
      <c r="G51" s="120" t="s">
        <v>97</v>
      </c>
      <c r="R51" s="12" t="str">
        <f t="shared" si="6"/>
        <v>Bósnia</v>
      </c>
      <c r="S51" s="9">
        <f t="shared" si="7"/>
        <v>3</v>
      </c>
      <c r="T51" s="9">
        <f t="shared" si="8"/>
        <v>1</v>
      </c>
      <c r="AA51" s="125"/>
      <c r="AB51" s="125"/>
      <c r="AC51" s="125"/>
      <c r="AD51" s="125"/>
      <c r="AE51" s="125"/>
      <c r="AF51" s="126"/>
      <c r="AG51" s="125"/>
      <c r="AH51" s="125"/>
      <c r="AI51" s="125"/>
      <c r="AJ51" s="125"/>
      <c r="AK51" s="125"/>
      <c r="AL51" s="126"/>
      <c r="AM51" s="125"/>
    </row>
    <row r="52" spans="1:39" ht="15.6" x14ac:dyDescent="0.3">
      <c r="A52" s="118">
        <v>46197</v>
      </c>
      <c r="B52" s="119">
        <v>0.79166666666666663</v>
      </c>
      <c r="C52" s="120" t="s">
        <v>4</v>
      </c>
      <c r="D52" s="121">
        <v>4</v>
      </c>
      <c r="E52" s="121" t="s">
        <v>1</v>
      </c>
      <c r="F52" s="121">
        <v>2</v>
      </c>
      <c r="G52" s="120" t="s">
        <v>113</v>
      </c>
      <c r="R52" s="12" t="str">
        <f t="shared" si="6"/>
        <v>Marrocos</v>
      </c>
      <c r="S52" s="9">
        <f t="shared" si="7"/>
        <v>4</v>
      </c>
      <c r="T52" s="9">
        <f t="shared" si="8"/>
        <v>2</v>
      </c>
      <c r="AA52" s="125"/>
      <c r="AB52" s="125"/>
      <c r="AC52" s="125"/>
      <c r="AD52" s="125"/>
      <c r="AE52" s="125"/>
      <c r="AF52" s="126"/>
      <c r="AG52" s="125"/>
      <c r="AH52" s="125"/>
      <c r="AI52" s="125"/>
      <c r="AJ52" s="125"/>
      <c r="AK52" s="125"/>
      <c r="AL52" s="126"/>
      <c r="AM52" s="125"/>
    </row>
    <row r="53" spans="1:39" ht="15.6" x14ac:dyDescent="0.3">
      <c r="A53" s="118">
        <v>46197</v>
      </c>
      <c r="B53" s="119">
        <v>0.79166666666666663</v>
      </c>
      <c r="C53" s="120" t="s">
        <v>114</v>
      </c>
      <c r="D53" s="121">
        <v>0</v>
      </c>
      <c r="E53" s="121" t="s">
        <v>1</v>
      </c>
      <c r="F53" s="121">
        <v>3</v>
      </c>
      <c r="G53" s="120" t="s">
        <v>11</v>
      </c>
      <c r="R53" s="12" t="str">
        <f t="shared" si="6"/>
        <v>Brasil</v>
      </c>
      <c r="S53" s="9">
        <f t="shared" si="7"/>
        <v>3</v>
      </c>
      <c r="T53" s="9">
        <f t="shared" si="8"/>
        <v>0</v>
      </c>
      <c r="AA53" s="125"/>
      <c r="AB53" s="125"/>
      <c r="AC53" s="125"/>
      <c r="AD53" s="125"/>
      <c r="AE53" s="125"/>
      <c r="AF53" s="126"/>
      <c r="AG53" s="125"/>
      <c r="AH53" s="125"/>
      <c r="AI53" s="125"/>
      <c r="AJ53" s="125"/>
      <c r="AK53" s="125"/>
      <c r="AL53" s="126"/>
      <c r="AM53" s="125"/>
    </row>
    <row r="54" spans="1:39" ht="15.6" x14ac:dyDescent="0.3">
      <c r="A54" s="118">
        <v>46197</v>
      </c>
      <c r="B54" s="119">
        <v>0.91666666666666663</v>
      </c>
      <c r="C54" s="120" t="s">
        <v>88</v>
      </c>
      <c r="D54" s="121">
        <v>1</v>
      </c>
      <c r="E54" s="121" t="s">
        <v>1</v>
      </c>
      <c r="F54" s="121">
        <v>0</v>
      </c>
      <c r="G54" s="120" t="s">
        <v>15</v>
      </c>
      <c r="R54" s="12" t="str">
        <f t="shared" si="6"/>
        <v>África do Sul</v>
      </c>
      <c r="S54" s="9">
        <f>IF(D54="","",IF(D54&gt;F54,D54,IF(F54&gt;D54,F54,D54)))</f>
        <v>1</v>
      </c>
      <c r="T54" s="9">
        <f t="shared" si="8"/>
        <v>0</v>
      </c>
      <c r="AA54" s="125"/>
      <c r="AB54" s="125"/>
      <c r="AC54" s="125"/>
      <c r="AD54" s="125"/>
      <c r="AE54" s="125"/>
      <c r="AF54" s="126"/>
      <c r="AG54" s="125"/>
      <c r="AH54" s="125"/>
      <c r="AI54" s="125"/>
      <c r="AJ54" s="125"/>
      <c r="AK54" s="125"/>
      <c r="AL54" s="126"/>
      <c r="AM54" s="125"/>
    </row>
    <row r="55" spans="1:39" ht="15.6" x14ac:dyDescent="0.3">
      <c r="A55" s="118">
        <v>46197</v>
      </c>
      <c r="B55" s="119">
        <v>0.91666666666666663</v>
      </c>
      <c r="C55" s="120" t="s">
        <v>111</v>
      </c>
      <c r="D55" s="121">
        <v>0</v>
      </c>
      <c r="E55" s="121" t="s">
        <v>1</v>
      </c>
      <c r="F55" s="121">
        <v>3</v>
      </c>
      <c r="G55" s="120" t="s">
        <v>13</v>
      </c>
      <c r="R55" s="12" t="str">
        <f t="shared" si="6"/>
        <v>México</v>
      </c>
      <c r="S55" s="9">
        <f>IF(D55="","",IF(D55&gt;F55,D55,IF(F55&gt;D55,F55,D55)))</f>
        <v>3</v>
      </c>
      <c r="T55" s="9">
        <f t="shared" si="8"/>
        <v>0</v>
      </c>
      <c r="AA55" s="125"/>
      <c r="AB55" s="125"/>
      <c r="AC55" s="125"/>
      <c r="AD55" s="125"/>
      <c r="AE55" s="125"/>
      <c r="AF55" s="126"/>
      <c r="AG55" s="125"/>
      <c r="AH55" s="125"/>
      <c r="AI55" s="125"/>
      <c r="AJ55" s="125"/>
      <c r="AK55" s="125"/>
      <c r="AL55" s="126"/>
      <c r="AM55" s="125"/>
    </row>
    <row r="56" spans="1:39" ht="15.6" x14ac:dyDescent="0.3">
      <c r="A56" s="118">
        <v>46198</v>
      </c>
      <c r="B56" s="119">
        <v>0.70833333333333337</v>
      </c>
      <c r="C56" s="120" t="s">
        <v>102</v>
      </c>
      <c r="D56" s="121">
        <v>2</v>
      </c>
      <c r="E56" s="121" t="s">
        <v>1</v>
      </c>
      <c r="F56" s="121">
        <v>1</v>
      </c>
      <c r="G56" s="120" t="s">
        <v>12</v>
      </c>
      <c r="R56" s="12" t="str">
        <f t="shared" si="6"/>
        <v>Equador</v>
      </c>
      <c r="S56" s="9">
        <f t="shared" si="7"/>
        <v>2</v>
      </c>
      <c r="T56" s="9">
        <f t="shared" si="8"/>
        <v>1</v>
      </c>
      <c r="AA56" s="125"/>
      <c r="AB56" s="125"/>
      <c r="AC56" s="125"/>
      <c r="AD56" s="125"/>
      <c r="AE56" s="125"/>
      <c r="AF56" s="126"/>
      <c r="AG56" s="125"/>
      <c r="AH56" s="125"/>
      <c r="AI56" s="125"/>
      <c r="AJ56" s="125"/>
      <c r="AK56" s="125"/>
      <c r="AL56" s="126"/>
      <c r="AM56" s="125"/>
    </row>
    <row r="57" spans="1:39" ht="15.6" x14ac:dyDescent="0.3">
      <c r="A57" s="118">
        <v>46198</v>
      </c>
      <c r="B57" s="119">
        <v>0.70833333333333337</v>
      </c>
      <c r="C57" s="120" t="s">
        <v>117</v>
      </c>
      <c r="D57" s="121">
        <v>0</v>
      </c>
      <c r="E57" s="121" t="s">
        <v>1</v>
      </c>
      <c r="F57" s="121">
        <v>2</v>
      </c>
      <c r="G57" s="120" t="s">
        <v>118</v>
      </c>
      <c r="R57" s="12" t="str">
        <f t="shared" si="6"/>
        <v>Costa do Marfim</v>
      </c>
      <c r="S57" s="9">
        <f t="shared" si="7"/>
        <v>2</v>
      </c>
      <c r="T57" s="9">
        <f t="shared" si="8"/>
        <v>0</v>
      </c>
      <c r="AA57" s="125"/>
      <c r="AB57" s="125"/>
      <c r="AC57" s="125"/>
      <c r="AD57" s="125"/>
      <c r="AE57" s="125"/>
      <c r="AF57" s="126"/>
      <c r="AG57" s="125"/>
      <c r="AH57" s="125"/>
      <c r="AI57" s="125"/>
      <c r="AJ57" s="125"/>
      <c r="AK57" s="125"/>
      <c r="AL57" s="126"/>
      <c r="AM57" s="125"/>
    </row>
    <row r="58" spans="1:39" ht="15.6" x14ac:dyDescent="0.3">
      <c r="A58" s="118">
        <v>46198</v>
      </c>
      <c r="B58" s="119">
        <v>0.83333333333333337</v>
      </c>
      <c r="C58" s="120" t="s">
        <v>17</v>
      </c>
      <c r="D58" s="121">
        <v>1</v>
      </c>
      <c r="E58" s="121" t="s">
        <v>1</v>
      </c>
      <c r="F58" s="121">
        <v>3</v>
      </c>
      <c r="G58" s="120" t="s">
        <v>78</v>
      </c>
      <c r="R58" s="12" t="str">
        <f t="shared" si="6"/>
        <v>Holanda</v>
      </c>
      <c r="S58" s="9">
        <f t="shared" si="7"/>
        <v>3</v>
      </c>
      <c r="T58" s="9">
        <f t="shared" si="8"/>
        <v>1</v>
      </c>
      <c r="AA58" s="125"/>
      <c r="AB58" s="125"/>
      <c r="AC58" s="125"/>
      <c r="AD58" s="125"/>
      <c r="AE58" s="125"/>
      <c r="AF58" s="126"/>
      <c r="AG58" s="125"/>
      <c r="AH58" s="125"/>
      <c r="AI58" s="125"/>
      <c r="AJ58" s="125"/>
      <c r="AK58" s="125"/>
      <c r="AL58" s="126"/>
      <c r="AM58" s="125"/>
    </row>
    <row r="59" spans="1:39" ht="15.6" x14ac:dyDescent="0.3">
      <c r="A59" s="118">
        <v>46198</v>
      </c>
      <c r="B59" s="119">
        <v>0.83333333333333337</v>
      </c>
      <c r="C59" s="120" t="s">
        <v>19</v>
      </c>
      <c r="D59" s="121">
        <v>1</v>
      </c>
      <c r="E59" s="121" t="s">
        <v>1</v>
      </c>
      <c r="F59" s="121">
        <v>1</v>
      </c>
      <c r="G59" s="120" t="s">
        <v>14</v>
      </c>
      <c r="R59" s="12" t="str">
        <f t="shared" si="6"/>
        <v>EMPATE</v>
      </c>
      <c r="S59" s="9">
        <f t="shared" si="7"/>
        <v>1</v>
      </c>
      <c r="T59" s="9">
        <f t="shared" si="8"/>
        <v>1</v>
      </c>
      <c r="AA59" s="125"/>
      <c r="AB59" s="125"/>
      <c r="AC59" s="125"/>
      <c r="AD59" s="125"/>
      <c r="AE59" s="125"/>
      <c r="AF59" s="126"/>
      <c r="AG59" s="125"/>
      <c r="AH59" s="125"/>
      <c r="AI59" s="125"/>
      <c r="AJ59" s="125"/>
      <c r="AK59" s="125"/>
      <c r="AL59" s="126"/>
      <c r="AM59" s="125"/>
    </row>
    <row r="60" spans="1:39" ht="15.6" x14ac:dyDescent="0.3">
      <c r="A60" s="118">
        <v>46198</v>
      </c>
      <c r="B60" s="119">
        <v>0.95833333333333337</v>
      </c>
      <c r="C60" s="120" t="s">
        <v>116</v>
      </c>
      <c r="D60" s="121">
        <v>3</v>
      </c>
      <c r="E60" s="121" t="s">
        <v>1</v>
      </c>
      <c r="F60" s="121">
        <v>2</v>
      </c>
      <c r="G60" s="120" t="s">
        <v>104</v>
      </c>
      <c r="R60" s="12" t="str">
        <f t="shared" si="6"/>
        <v>Turquia</v>
      </c>
      <c r="S60" s="9">
        <f t="shared" si="7"/>
        <v>3</v>
      </c>
      <c r="T60" s="9">
        <f t="shared" si="8"/>
        <v>2</v>
      </c>
      <c r="AA60" s="125"/>
      <c r="AB60" s="125"/>
      <c r="AC60" s="125"/>
      <c r="AD60" s="125"/>
      <c r="AE60" s="125"/>
      <c r="AF60" s="126"/>
      <c r="AG60" s="125"/>
      <c r="AH60" s="125"/>
      <c r="AI60" s="125"/>
      <c r="AJ60" s="125"/>
      <c r="AK60" s="125"/>
      <c r="AL60" s="126"/>
      <c r="AM60" s="125"/>
    </row>
    <row r="61" spans="1:39" ht="15.6" x14ac:dyDescent="0.3">
      <c r="A61" s="118">
        <v>46198</v>
      </c>
      <c r="B61" s="119">
        <v>0.95833333333333337</v>
      </c>
      <c r="C61" s="120" t="s">
        <v>115</v>
      </c>
      <c r="D61" s="121">
        <v>0</v>
      </c>
      <c r="E61" s="121" t="s">
        <v>1</v>
      </c>
      <c r="F61" s="121">
        <v>0</v>
      </c>
      <c r="G61" s="120" t="s">
        <v>8</v>
      </c>
      <c r="R61" s="12" t="str">
        <f t="shared" si="6"/>
        <v>EMPATE</v>
      </c>
      <c r="S61" s="9">
        <f t="shared" si="7"/>
        <v>0</v>
      </c>
      <c r="T61" s="9">
        <f t="shared" si="8"/>
        <v>0</v>
      </c>
      <c r="AA61" s="125"/>
      <c r="AB61" s="125"/>
      <c r="AC61" s="125"/>
      <c r="AD61" s="125"/>
      <c r="AE61" s="125"/>
      <c r="AF61" s="126"/>
      <c r="AG61" s="125"/>
      <c r="AH61" s="125"/>
      <c r="AI61" s="125"/>
      <c r="AJ61" s="125"/>
      <c r="AK61" s="125"/>
      <c r="AL61" s="126"/>
      <c r="AM61" s="125"/>
    </row>
    <row r="62" spans="1:39" ht="15.6" x14ac:dyDescent="0.3">
      <c r="A62" s="118">
        <v>46199</v>
      </c>
      <c r="B62" s="119">
        <v>0.66666666666666663</v>
      </c>
      <c r="C62" s="120" t="s">
        <v>20</v>
      </c>
      <c r="D62" s="121">
        <v>5</v>
      </c>
      <c r="E62" s="121" t="s">
        <v>1</v>
      </c>
      <c r="F62" s="121">
        <v>0</v>
      </c>
      <c r="G62" s="120" t="s">
        <v>122</v>
      </c>
      <c r="R62" s="12" t="str">
        <f t="shared" si="6"/>
        <v>Senegal</v>
      </c>
      <c r="S62" s="9">
        <f t="shared" si="7"/>
        <v>5</v>
      </c>
      <c r="T62" s="9">
        <f t="shared" si="8"/>
        <v>0</v>
      </c>
      <c r="AA62" s="125"/>
      <c r="AB62" s="125"/>
      <c r="AC62" s="125"/>
      <c r="AD62" s="125"/>
      <c r="AE62" s="125"/>
      <c r="AF62" s="126"/>
      <c r="AG62" s="125"/>
      <c r="AH62" s="125"/>
      <c r="AI62" s="125"/>
      <c r="AJ62" s="125"/>
      <c r="AK62" s="125"/>
      <c r="AL62" s="126"/>
      <c r="AM62" s="125"/>
    </row>
    <row r="63" spans="1:39" ht="15.6" x14ac:dyDescent="0.3">
      <c r="A63" s="118">
        <v>46199</v>
      </c>
      <c r="B63" s="119">
        <v>0.66666666666666663</v>
      </c>
      <c r="C63" s="120" t="s">
        <v>123</v>
      </c>
      <c r="D63" s="121">
        <v>1</v>
      </c>
      <c r="E63" s="121" t="s">
        <v>1</v>
      </c>
      <c r="F63" s="121">
        <v>4</v>
      </c>
      <c r="G63" s="120" t="s">
        <v>7</v>
      </c>
      <c r="R63" s="12" t="str">
        <f t="shared" si="6"/>
        <v>França</v>
      </c>
      <c r="S63" s="9">
        <f t="shared" si="7"/>
        <v>4</v>
      </c>
      <c r="T63" s="9">
        <f t="shared" si="8"/>
        <v>1</v>
      </c>
      <c r="AA63" s="125"/>
      <c r="AB63" s="125"/>
      <c r="AC63" s="125"/>
      <c r="AD63" s="125"/>
      <c r="AE63" s="125"/>
      <c r="AF63" s="126"/>
      <c r="AG63" s="125"/>
      <c r="AH63" s="125"/>
      <c r="AI63" s="125"/>
      <c r="AJ63" s="125"/>
      <c r="AK63" s="125"/>
      <c r="AL63" s="126"/>
      <c r="AM63" s="125"/>
    </row>
    <row r="64" spans="1:39" ht="15.6" x14ac:dyDescent="0.3">
      <c r="A64" s="118">
        <v>46199</v>
      </c>
      <c r="B64" s="119">
        <v>0.875</v>
      </c>
      <c r="C64" s="120" t="s">
        <v>121</v>
      </c>
      <c r="D64" s="121">
        <v>0</v>
      </c>
      <c r="E64" s="121" t="s">
        <v>1</v>
      </c>
      <c r="F64" s="121">
        <v>0</v>
      </c>
      <c r="G64" s="120" t="s">
        <v>2</v>
      </c>
      <c r="R64" s="12" t="str">
        <f t="shared" si="6"/>
        <v>EMPATE</v>
      </c>
      <c r="S64" s="9">
        <f t="shared" si="7"/>
        <v>0</v>
      </c>
      <c r="T64" s="9">
        <f t="shared" si="8"/>
        <v>0</v>
      </c>
      <c r="AA64" s="125"/>
      <c r="AB64" s="125"/>
      <c r="AC64" s="125"/>
      <c r="AD64" s="125"/>
      <c r="AE64" s="125"/>
      <c r="AF64" s="126"/>
      <c r="AG64" s="125"/>
      <c r="AH64" s="125"/>
      <c r="AI64" s="125"/>
      <c r="AJ64" s="125"/>
      <c r="AK64" s="125"/>
      <c r="AL64" s="126"/>
      <c r="AM64" s="125"/>
    </row>
    <row r="65" spans="1:39" ht="15.6" x14ac:dyDescent="0.3">
      <c r="A65" s="118">
        <v>46199</v>
      </c>
      <c r="B65" s="119">
        <v>0.875</v>
      </c>
      <c r="C65" s="120" t="s">
        <v>3</v>
      </c>
      <c r="D65" s="121">
        <v>0</v>
      </c>
      <c r="E65" s="121" t="s">
        <v>1</v>
      </c>
      <c r="F65" s="121">
        <v>1</v>
      </c>
      <c r="G65" s="120" t="s">
        <v>6</v>
      </c>
      <c r="R65" s="12" t="str">
        <f t="shared" si="6"/>
        <v>Espanha</v>
      </c>
      <c r="S65" s="9">
        <f t="shared" si="7"/>
        <v>1</v>
      </c>
      <c r="T65" s="9">
        <f t="shared" si="8"/>
        <v>0</v>
      </c>
      <c r="AA65" s="125"/>
      <c r="AB65" s="125"/>
      <c r="AC65" s="125"/>
      <c r="AD65" s="125"/>
      <c r="AE65" s="125"/>
      <c r="AF65" s="126"/>
      <c r="AG65" s="125"/>
      <c r="AH65" s="125"/>
      <c r="AI65" s="125"/>
      <c r="AJ65" s="125"/>
      <c r="AK65" s="125"/>
      <c r="AL65" s="126"/>
      <c r="AM65" s="125"/>
    </row>
    <row r="66" spans="1:39" x14ac:dyDescent="0.3">
      <c r="A66" s="118">
        <v>46200</v>
      </c>
      <c r="B66" s="119">
        <v>0</v>
      </c>
      <c r="C66" s="120" t="s">
        <v>119</v>
      </c>
      <c r="D66" s="121">
        <v>1</v>
      </c>
      <c r="E66" s="121" t="s">
        <v>1</v>
      </c>
      <c r="F66" s="121">
        <v>1</v>
      </c>
      <c r="G66" s="120" t="s">
        <v>103</v>
      </c>
      <c r="R66" s="12" t="str">
        <f t="shared" si="6"/>
        <v>EMPATE</v>
      </c>
      <c r="S66" s="9">
        <f t="shared" si="7"/>
        <v>1</v>
      </c>
      <c r="T66" s="9">
        <f t="shared" si="8"/>
        <v>1</v>
      </c>
    </row>
    <row r="67" spans="1:39" x14ac:dyDescent="0.3">
      <c r="A67" s="118">
        <v>46200</v>
      </c>
      <c r="B67" s="119">
        <v>0</v>
      </c>
      <c r="C67" s="120" t="s">
        <v>120</v>
      </c>
      <c r="D67" s="121">
        <v>1</v>
      </c>
      <c r="E67" s="121" t="s">
        <v>1</v>
      </c>
      <c r="F67" s="121">
        <v>5</v>
      </c>
      <c r="G67" s="120" t="s">
        <v>16</v>
      </c>
      <c r="R67" s="12" t="str">
        <f t="shared" si="6"/>
        <v>Bélgica</v>
      </c>
      <c r="S67" s="9">
        <f t="shared" si="7"/>
        <v>5</v>
      </c>
      <c r="T67" s="9">
        <f t="shared" si="8"/>
        <v>1</v>
      </c>
    </row>
    <row r="68" spans="1:39" x14ac:dyDescent="0.3">
      <c r="A68" s="118">
        <v>46200</v>
      </c>
      <c r="B68" s="119">
        <v>0.75</v>
      </c>
      <c r="C68" s="120" t="s">
        <v>10</v>
      </c>
      <c r="D68" s="121">
        <v>2</v>
      </c>
      <c r="E68" s="121" t="s">
        <v>1</v>
      </c>
      <c r="F68" s="121">
        <v>1</v>
      </c>
      <c r="G68" s="120" t="s">
        <v>106</v>
      </c>
      <c r="R68" s="12" t="str">
        <f t="shared" si="6"/>
        <v>Croácia</v>
      </c>
      <c r="S68" s="9">
        <f t="shared" si="7"/>
        <v>2</v>
      </c>
      <c r="T68" s="9">
        <f t="shared" si="8"/>
        <v>1</v>
      </c>
    </row>
    <row r="69" spans="1:39" x14ac:dyDescent="0.3">
      <c r="A69" s="118">
        <v>46200</v>
      </c>
      <c r="B69" s="119">
        <v>0.75</v>
      </c>
      <c r="C69" s="120" t="s">
        <v>130</v>
      </c>
      <c r="D69" s="121">
        <v>0</v>
      </c>
      <c r="E69" s="121" t="s">
        <v>1</v>
      </c>
      <c r="F69" s="121">
        <v>2</v>
      </c>
      <c r="G69" s="120" t="s">
        <v>18</v>
      </c>
      <c r="R69" s="12" t="str">
        <f t="shared" si="6"/>
        <v>Inglaterra</v>
      </c>
      <c r="S69" s="9">
        <f t="shared" si="7"/>
        <v>2</v>
      </c>
      <c r="T69" s="9">
        <f t="shared" si="8"/>
        <v>0</v>
      </c>
    </row>
    <row r="70" spans="1:39" x14ac:dyDescent="0.3">
      <c r="A70" s="118">
        <v>46200</v>
      </c>
      <c r="B70" s="119">
        <v>0.85416666666666663</v>
      </c>
      <c r="C70" s="120" t="s">
        <v>127</v>
      </c>
      <c r="D70" s="121">
        <v>3</v>
      </c>
      <c r="E70" s="121" t="s">
        <v>1</v>
      </c>
      <c r="F70" s="121">
        <v>1</v>
      </c>
      <c r="G70" s="120" t="s">
        <v>128</v>
      </c>
      <c r="R70" s="12" t="str">
        <f t="shared" si="6"/>
        <v>RD Congo</v>
      </c>
      <c r="S70" s="9">
        <f t="shared" si="7"/>
        <v>3</v>
      </c>
      <c r="T70" s="9">
        <f t="shared" si="8"/>
        <v>1</v>
      </c>
    </row>
    <row r="71" spans="1:39" x14ac:dyDescent="0.3">
      <c r="A71" s="118">
        <v>46200</v>
      </c>
      <c r="B71" s="119">
        <v>0.85416666666666663</v>
      </c>
      <c r="C71" s="120" t="s">
        <v>129</v>
      </c>
      <c r="D71" s="121">
        <v>0</v>
      </c>
      <c r="E71" s="121" t="s">
        <v>1</v>
      </c>
      <c r="F71" s="121">
        <v>0</v>
      </c>
      <c r="G71" s="120" t="s">
        <v>5</v>
      </c>
      <c r="R71" s="12" t="str">
        <f t="shared" ref="R71:R86" si="10">IF(D71="","",IF(D71&gt;F71,C71,IF(F71&gt;D71,G71,"EMPATE")))</f>
        <v>EMPATE</v>
      </c>
      <c r="S71" s="9">
        <f t="shared" ref="S71:S86" si="11">IF(D71="","",IF(D71&gt;F71,D71,IF(F71&gt;D71,F71,D71)))</f>
        <v>0</v>
      </c>
      <c r="T71" s="9">
        <f t="shared" ref="T71:T86" si="12">IF(D71="","",IF(D71&lt;F71,D71,IF(F71&lt;D71,F71,D71)))</f>
        <v>0</v>
      </c>
    </row>
    <row r="72" spans="1:39" x14ac:dyDescent="0.3">
      <c r="A72" s="118">
        <v>46200</v>
      </c>
      <c r="B72" s="119">
        <v>0.95833333333333337</v>
      </c>
      <c r="C72" s="120" t="s">
        <v>126</v>
      </c>
      <c r="D72" s="121">
        <v>1</v>
      </c>
      <c r="E72" s="121" t="s">
        <v>1</v>
      </c>
      <c r="F72" s="121">
        <v>3</v>
      </c>
      <c r="G72" s="120" t="s">
        <v>9</v>
      </c>
      <c r="R72" s="12" t="str">
        <f t="shared" si="10"/>
        <v>Argentina</v>
      </c>
      <c r="S72" s="9">
        <f t="shared" si="11"/>
        <v>3</v>
      </c>
      <c r="T72" s="9">
        <f t="shared" si="12"/>
        <v>1</v>
      </c>
    </row>
    <row r="73" spans="1:39" x14ac:dyDescent="0.3">
      <c r="A73" s="118">
        <v>46200</v>
      </c>
      <c r="B73" s="119">
        <v>0.95833333333333337</v>
      </c>
      <c r="C73" s="120" t="s">
        <v>124</v>
      </c>
      <c r="D73" s="121">
        <v>3</v>
      </c>
      <c r="E73" s="121" t="s">
        <v>1</v>
      </c>
      <c r="F73" s="121">
        <v>3</v>
      </c>
      <c r="G73" s="120" t="s">
        <v>125</v>
      </c>
      <c r="R73" s="12" t="str">
        <f t="shared" si="10"/>
        <v>EMPATE</v>
      </c>
      <c r="S73" s="9">
        <f t="shared" si="11"/>
        <v>3</v>
      </c>
      <c r="T73" s="9">
        <f t="shared" si="12"/>
        <v>3</v>
      </c>
    </row>
    <row r="74" spans="1:39" x14ac:dyDescent="0.3">
      <c r="A74" s="60">
        <v>46201</v>
      </c>
      <c r="B74" s="61">
        <v>0.66666666666666663</v>
      </c>
      <c r="C74" s="62" t="s">
        <v>88</v>
      </c>
      <c r="D74" s="63"/>
      <c r="E74" s="63" t="s">
        <v>1</v>
      </c>
      <c r="F74" s="63"/>
      <c r="G74" s="62" t="s">
        <v>105</v>
      </c>
      <c r="R74" s="12" t="str">
        <f t="shared" si="10"/>
        <v/>
      </c>
      <c r="S74" s="9" t="str">
        <f t="shared" si="11"/>
        <v/>
      </c>
      <c r="T74" s="9" t="str">
        <f t="shared" si="12"/>
        <v/>
      </c>
    </row>
    <row r="75" spans="1:39" x14ac:dyDescent="0.3">
      <c r="A75" s="60">
        <v>46202</v>
      </c>
      <c r="B75" s="61">
        <v>0.58333333333333337</v>
      </c>
      <c r="C75" s="62" t="s">
        <v>11</v>
      </c>
      <c r="D75" s="63"/>
      <c r="E75" s="63" t="s">
        <v>1</v>
      </c>
      <c r="F75" s="63"/>
      <c r="G75" s="62" t="s">
        <v>19</v>
      </c>
      <c r="R75" s="12" t="str">
        <f t="shared" si="10"/>
        <v/>
      </c>
      <c r="S75" s="9" t="str">
        <f t="shared" si="11"/>
        <v/>
      </c>
      <c r="T75" s="9" t="str">
        <f t="shared" si="12"/>
        <v/>
      </c>
    </row>
    <row r="76" spans="1:39" x14ac:dyDescent="0.3">
      <c r="A76" s="60">
        <v>46202</v>
      </c>
      <c r="B76" s="61">
        <v>0.72916666666666663</v>
      </c>
      <c r="C76" s="62" t="s">
        <v>12</v>
      </c>
      <c r="D76" s="63"/>
      <c r="E76" s="63" t="s">
        <v>1</v>
      </c>
      <c r="F76" s="63"/>
      <c r="G76" s="62" t="s">
        <v>115</v>
      </c>
      <c r="R76" s="12" t="str">
        <f t="shared" si="10"/>
        <v/>
      </c>
      <c r="S76" s="9" t="str">
        <f t="shared" si="11"/>
        <v/>
      </c>
      <c r="T76" s="9" t="str">
        <f t="shared" si="12"/>
        <v/>
      </c>
    </row>
    <row r="77" spans="1:39" x14ac:dyDescent="0.3">
      <c r="A77" s="60">
        <v>46202</v>
      </c>
      <c r="B77" s="61">
        <v>0.91666666666666663</v>
      </c>
      <c r="C77" s="62" t="s">
        <v>78</v>
      </c>
      <c r="D77" s="63"/>
      <c r="E77" s="63" t="s">
        <v>1</v>
      </c>
      <c r="F77" s="63"/>
      <c r="G77" s="62" t="s">
        <v>4</v>
      </c>
      <c r="R77" s="12" t="str">
        <f t="shared" si="10"/>
        <v/>
      </c>
      <c r="S77" s="9" t="str">
        <f t="shared" si="11"/>
        <v/>
      </c>
      <c r="T77" s="9" t="str">
        <f t="shared" si="12"/>
        <v/>
      </c>
    </row>
    <row r="78" spans="1:39" x14ac:dyDescent="0.3">
      <c r="A78" s="60">
        <v>46203</v>
      </c>
      <c r="B78" s="61">
        <v>0.58333333333333337</v>
      </c>
      <c r="C78" s="62" t="s">
        <v>118</v>
      </c>
      <c r="D78" s="63"/>
      <c r="E78" s="63" t="s">
        <v>1</v>
      </c>
      <c r="F78" s="63"/>
      <c r="G78" s="62" t="s">
        <v>123</v>
      </c>
      <c r="R78" s="12" t="str">
        <f t="shared" si="10"/>
        <v/>
      </c>
      <c r="S78" s="9" t="str">
        <f t="shared" si="11"/>
        <v/>
      </c>
      <c r="T78" s="9" t="str">
        <f t="shared" si="12"/>
        <v/>
      </c>
    </row>
    <row r="79" spans="1:39" x14ac:dyDescent="0.3">
      <c r="A79" s="60">
        <v>46203</v>
      </c>
      <c r="B79" s="61">
        <v>0.75</v>
      </c>
      <c r="C79" s="62" t="s">
        <v>7</v>
      </c>
      <c r="D79" s="63"/>
      <c r="E79" s="63" t="s">
        <v>1</v>
      </c>
      <c r="F79" s="63"/>
      <c r="G79" s="62" t="s">
        <v>14</v>
      </c>
      <c r="R79" s="12" t="str">
        <f t="shared" si="10"/>
        <v/>
      </c>
      <c r="S79" s="9" t="str">
        <f t="shared" si="11"/>
        <v/>
      </c>
      <c r="T79" s="9" t="str">
        <f t="shared" si="12"/>
        <v/>
      </c>
    </row>
    <row r="80" spans="1:39" x14ac:dyDescent="0.3">
      <c r="A80" s="60">
        <v>46203</v>
      </c>
      <c r="B80" s="61">
        <v>0.91666666666666663</v>
      </c>
      <c r="C80" s="62" t="s">
        <v>13</v>
      </c>
      <c r="D80" s="63"/>
      <c r="E80" s="63" t="s">
        <v>1</v>
      </c>
      <c r="F80" s="63"/>
      <c r="G80" s="62" t="s">
        <v>102</v>
      </c>
      <c r="R80" s="12" t="str">
        <f t="shared" si="10"/>
        <v/>
      </c>
      <c r="S80" s="9" t="str">
        <f t="shared" si="11"/>
        <v/>
      </c>
      <c r="T80" s="9" t="str">
        <f t="shared" si="12"/>
        <v/>
      </c>
    </row>
    <row r="81" spans="1:20" x14ac:dyDescent="0.3">
      <c r="A81" s="60">
        <v>46204</v>
      </c>
      <c r="B81" s="61">
        <v>0.54166666666666663</v>
      </c>
      <c r="C81" s="62" t="s">
        <v>18</v>
      </c>
      <c r="D81" s="63"/>
      <c r="E81" s="63" t="s">
        <v>1</v>
      </c>
      <c r="F81" s="63"/>
      <c r="G81" s="62" t="s">
        <v>127</v>
      </c>
      <c r="R81" s="12" t="str">
        <f t="shared" si="10"/>
        <v/>
      </c>
      <c r="S81" s="9" t="str">
        <f t="shared" si="11"/>
        <v/>
      </c>
      <c r="T81" s="9" t="str">
        <f t="shared" si="12"/>
        <v/>
      </c>
    </row>
    <row r="82" spans="1:20" x14ac:dyDescent="0.3">
      <c r="A82" s="60">
        <v>46204</v>
      </c>
      <c r="B82" s="61">
        <v>0.70833333333333337</v>
      </c>
      <c r="C82" s="62" t="s">
        <v>16</v>
      </c>
      <c r="D82" s="63"/>
      <c r="E82" s="63" t="s">
        <v>1</v>
      </c>
      <c r="F82" s="63"/>
      <c r="G82" s="62" t="s">
        <v>20</v>
      </c>
      <c r="R82" s="12" t="str">
        <f t="shared" si="10"/>
        <v/>
      </c>
      <c r="S82" s="9" t="str">
        <f t="shared" si="11"/>
        <v/>
      </c>
      <c r="T82" s="9" t="str">
        <f t="shared" si="12"/>
        <v/>
      </c>
    </row>
    <row r="83" spans="1:20" x14ac:dyDescent="0.3">
      <c r="A83" s="60">
        <v>46204</v>
      </c>
      <c r="B83" s="61">
        <v>0.875</v>
      </c>
      <c r="C83" s="62" t="s">
        <v>104</v>
      </c>
      <c r="D83" s="63"/>
      <c r="E83" s="63" t="s">
        <v>1</v>
      </c>
      <c r="F83" s="63"/>
      <c r="G83" s="62" t="s">
        <v>112</v>
      </c>
      <c r="R83" s="12" t="str">
        <f t="shared" si="10"/>
        <v/>
      </c>
      <c r="S83" s="9" t="str">
        <f t="shared" si="11"/>
        <v/>
      </c>
      <c r="T83" s="9" t="str">
        <f t="shared" si="12"/>
        <v/>
      </c>
    </row>
    <row r="84" spans="1:20" x14ac:dyDescent="0.3">
      <c r="A84" s="60">
        <v>46205</v>
      </c>
      <c r="B84" s="61">
        <v>0.66666666666666663</v>
      </c>
      <c r="C84" s="62" t="s">
        <v>6</v>
      </c>
      <c r="D84" s="63"/>
      <c r="E84" s="63" t="s">
        <v>1</v>
      </c>
      <c r="F84" s="63"/>
      <c r="G84" s="62" t="s">
        <v>125</v>
      </c>
      <c r="R84" s="12" t="str">
        <f t="shared" si="10"/>
        <v/>
      </c>
      <c r="S84" s="9" t="str">
        <f t="shared" si="11"/>
        <v/>
      </c>
      <c r="T84" s="9" t="str">
        <f t="shared" si="12"/>
        <v/>
      </c>
    </row>
    <row r="85" spans="1:20" x14ac:dyDescent="0.3">
      <c r="A85" s="60">
        <v>46205</v>
      </c>
      <c r="B85" s="61">
        <v>0.83333333333333337</v>
      </c>
      <c r="C85" s="62" t="s">
        <v>5</v>
      </c>
      <c r="D85" s="63"/>
      <c r="E85" s="63" t="s">
        <v>1</v>
      </c>
      <c r="F85" s="63"/>
      <c r="G85" s="62" t="s">
        <v>10</v>
      </c>
      <c r="R85" s="12" t="str">
        <f t="shared" si="10"/>
        <v/>
      </c>
      <c r="S85" s="9" t="str">
        <f t="shared" si="11"/>
        <v/>
      </c>
      <c r="T85" s="9" t="str">
        <f t="shared" si="12"/>
        <v/>
      </c>
    </row>
    <row r="86" spans="1:20" x14ac:dyDescent="0.3">
      <c r="A86" s="60">
        <v>46206</v>
      </c>
      <c r="B86" s="61">
        <v>0</v>
      </c>
      <c r="C86" s="62" t="s">
        <v>72</v>
      </c>
      <c r="D86" s="63"/>
      <c r="E86" s="63" t="s">
        <v>1</v>
      </c>
      <c r="F86" s="63"/>
      <c r="G86" s="62" t="s">
        <v>124</v>
      </c>
      <c r="R86" s="12" t="str">
        <f t="shared" si="10"/>
        <v/>
      </c>
      <c r="S86" s="9" t="str">
        <f t="shared" si="11"/>
        <v/>
      </c>
      <c r="T86" s="9" t="str">
        <f t="shared" si="12"/>
        <v/>
      </c>
    </row>
    <row r="87" spans="1:20" x14ac:dyDescent="0.3">
      <c r="A87" s="60">
        <v>46206</v>
      </c>
      <c r="B87" s="61">
        <v>0.625</v>
      </c>
      <c r="C87" s="62" t="s">
        <v>8</v>
      </c>
      <c r="D87" s="63"/>
      <c r="E87" s="63" t="s">
        <v>1</v>
      </c>
      <c r="F87" s="63"/>
      <c r="G87" s="62" t="s">
        <v>119</v>
      </c>
      <c r="R87" s="12" t="str">
        <f t="shared" ref="R87:R90" si="13">IF(D87="","",IF(D87&gt;F87,C87,IF(F87&gt;D87,G87,"EMPATE")))</f>
        <v/>
      </c>
      <c r="S87" s="9" t="str">
        <f t="shared" ref="S87:S90" si="14">IF(D87="","",IF(D87&gt;F87,D87,IF(F87&gt;D87,F87,D87)))</f>
        <v/>
      </c>
      <c r="T87" s="9" t="str">
        <f t="shared" ref="T87:T90" si="15">IF(D87="","",IF(D87&lt;F87,D87,IF(F87&lt;D87,F87,D87)))</f>
        <v/>
      </c>
    </row>
    <row r="88" spans="1:20" x14ac:dyDescent="0.3">
      <c r="A88" s="60">
        <v>46206</v>
      </c>
      <c r="B88" s="61">
        <v>0.79166666666666663</v>
      </c>
      <c r="C88" s="62" t="s">
        <v>9</v>
      </c>
      <c r="D88" s="63"/>
      <c r="E88" s="63" t="s">
        <v>1</v>
      </c>
      <c r="F88" s="63"/>
      <c r="G88" s="62" t="s">
        <v>121</v>
      </c>
      <c r="R88" s="12" t="str">
        <f t="shared" si="13"/>
        <v/>
      </c>
      <c r="S88" s="9" t="str">
        <f t="shared" si="14"/>
        <v/>
      </c>
      <c r="T88" s="9" t="str">
        <f t="shared" si="15"/>
        <v/>
      </c>
    </row>
    <row r="89" spans="1:20" x14ac:dyDescent="0.3">
      <c r="A89" s="60">
        <v>46206</v>
      </c>
      <c r="B89" s="61">
        <v>0.9375</v>
      </c>
      <c r="C89" s="62" t="s">
        <v>129</v>
      </c>
      <c r="D89" s="63"/>
      <c r="E89" s="63" t="s">
        <v>1</v>
      </c>
      <c r="F89" s="63"/>
      <c r="G89" s="62" t="s">
        <v>106</v>
      </c>
      <c r="R89" s="12" t="str">
        <f t="shared" si="13"/>
        <v/>
      </c>
      <c r="S89" s="9" t="str">
        <f t="shared" si="14"/>
        <v/>
      </c>
      <c r="T89" s="9" t="str">
        <f t="shared" si="15"/>
        <v/>
      </c>
    </row>
    <row r="90" spans="1:20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R90" s="12" t="str">
        <f t="shared" si="13"/>
        <v/>
      </c>
      <c r="S90" s="9" t="str">
        <f t="shared" si="14"/>
        <v/>
      </c>
      <c r="T90" s="9" t="str">
        <f t="shared" si="15"/>
        <v/>
      </c>
    </row>
    <row r="91" spans="1:20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R91" s="12" t="str">
        <f t="shared" ref="R91:R105" si="16">IF(D91="","",IF(D91&gt;F91,C91,IF(F91&gt;D91,G91,"EMPATE")))</f>
        <v/>
      </c>
      <c r="S91" s="9" t="str">
        <f t="shared" ref="S91:S105" si="17">IF(D91="","",IF(D91&gt;F91,D91,IF(F91&gt;D91,F91,D91)))</f>
        <v/>
      </c>
      <c r="T91" s="9" t="str">
        <f t="shared" ref="T91:T105" si="18">IF(D91="","",IF(D91&lt;F91,D91,IF(F91&lt;D91,F91,D91)))</f>
        <v/>
      </c>
    </row>
    <row r="92" spans="1:20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R92" s="12" t="str">
        <f t="shared" si="16"/>
        <v/>
      </c>
      <c r="S92" s="9" t="str">
        <f t="shared" si="17"/>
        <v/>
      </c>
      <c r="T92" s="9" t="str">
        <f t="shared" si="18"/>
        <v/>
      </c>
    </row>
    <row r="93" spans="1:20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R93" s="12" t="str">
        <f t="shared" si="16"/>
        <v/>
      </c>
      <c r="S93" s="9" t="str">
        <f t="shared" si="17"/>
        <v/>
      </c>
      <c r="T93" s="9" t="str">
        <f t="shared" si="18"/>
        <v/>
      </c>
    </row>
    <row r="94" spans="1:20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R94" s="12" t="str">
        <f t="shared" si="16"/>
        <v/>
      </c>
      <c r="S94" s="9" t="str">
        <f t="shared" si="17"/>
        <v/>
      </c>
      <c r="T94" s="9" t="str">
        <f t="shared" si="18"/>
        <v/>
      </c>
    </row>
    <row r="95" spans="1:20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R95" s="12" t="str">
        <f t="shared" si="16"/>
        <v/>
      </c>
      <c r="S95" s="9" t="str">
        <f t="shared" si="17"/>
        <v/>
      </c>
      <c r="T95" s="9" t="str">
        <f t="shared" si="18"/>
        <v/>
      </c>
    </row>
    <row r="96" spans="1:20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R96" s="12" t="str">
        <f t="shared" si="16"/>
        <v/>
      </c>
      <c r="S96" s="9" t="str">
        <f t="shared" si="17"/>
        <v/>
      </c>
      <c r="T96" s="9" t="str">
        <f t="shared" si="18"/>
        <v/>
      </c>
    </row>
    <row r="97" spans="1:20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R97" s="12" t="str">
        <f t="shared" si="16"/>
        <v/>
      </c>
      <c r="S97" s="9" t="str">
        <f t="shared" si="17"/>
        <v/>
      </c>
      <c r="T97" s="9" t="str">
        <f t="shared" si="18"/>
        <v/>
      </c>
    </row>
    <row r="98" spans="1:20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R98" s="12" t="str">
        <f t="shared" si="16"/>
        <v/>
      </c>
      <c r="S98" s="9" t="str">
        <f t="shared" si="17"/>
        <v/>
      </c>
      <c r="T98" s="9" t="str">
        <f t="shared" si="18"/>
        <v/>
      </c>
    </row>
    <row r="99" spans="1:20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R99" s="12" t="str">
        <f t="shared" si="16"/>
        <v/>
      </c>
      <c r="S99" s="9" t="str">
        <f t="shared" si="17"/>
        <v/>
      </c>
      <c r="T99" s="9" t="str">
        <f t="shared" si="18"/>
        <v/>
      </c>
    </row>
    <row r="100" spans="1:20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R100" s="12" t="str">
        <f t="shared" si="16"/>
        <v/>
      </c>
      <c r="S100" s="9" t="str">
        <f t="shared" si="17"/>
        <v/>
      </c>
      <c r="T100" s="9" t="str">
        <f t="shared" si="18"/>
        <v/>
      </c>
    </row>
    <row r="101" spans="1:20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R101" s="12" t="str">
        <f t="shared" si="16"/>
        <v/>
      </c>
      <c r="S101" s="9" t="str">
        <f t="shared" si="17"/>
        <v/>
      </c>
      <c r="T101" s="9" t="str">
        <f t="shared" si="18"/>
        <v/>
      </c>
    </row>
    <row r="102" spans="1:20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R102" s="12" t="str">
        <f t="shared" si="16"/>
        <v/>
      </c>
      <c r="S102" s="9" t="str">
        <f t="shared" si="17"/>
        <v/>
      </c>
      <c r="T102" s="9" t="str">
        <f t="shared" si="18"/>
        <v/>
      </c>
    </row>
    <row r="103" spans="1:20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R103" s="12" t="str">
        <f t="shared" si="16"/>
        <v/>
      </c>
      <c r="S103" s="9" t="str">
        <f t="shared" si="17"/>
        <v/>
      </c>
      <c r="T103" s="9" t="str">
        <f t="shared" si="18"/>
        <v/>
      </c>
    </row>
    <row r="104" spans="1:20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R104" s="12" t="str">
        <f t="shared" si="16"/>
        <v/>
      </c>
      <c r="S104" s="9" t="str">
        <f t="shared" si="17"/>
        <v/>
      </c>
      <c r="T104" s="9" t="str">
        <f t="shared" si="18"/>
        <v/>
      </c>
    </row>
    <row r="105" spans="1:20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R105" s="12" t="str">
        <f t="shared" si="16"/>
        <v/>
      </c>
      <c r="S105" s="9" t="str">
        <f t="shared" si="17"/>
        <v/>
      </c>
      <c r="T105" s="9" t="str">
        <f t="shared" si="18"/>
        <v/>
      </c>
    </row>
  </sheetData>
  <sortState xmlns:xlrd2="http://schemas.microsoft.com/office/spreadsheetml/2017/richdata2" ref="I24:P33">
    <sortCondition ref="I24:I33"/>
    <sortCondition ref="L24:L33"/>
    <sortCondition ref="M24:M33"/>
    <sortCondition ref="N24:N33"/>
    <sortCondition ref="O24:O33"/>
    <sortCondition ref="P24:P33"/>
  </sortState>
  <mergeCells count="5">
    <mergeCell ref="A1:G1"/>
    <mergeCell ref="I9:P9"/>
    <mergeCell ref="I1:P3"/>
    <mergeCell ref="I5:P7"/>
    <mergeCell ref="I22:P22"/>
  </mergeCells>
  <phoneticPr fontId="1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5"/>
  <sheetViews>
    <sheetView showGridLines="0" topLeftCell="A74" zoomScaleNormal="100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" style="47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26</v>
      </c>
      <c r="I1" s="135"/>
      <c r="J1" s="142"/>
      <c r="K1" s="3" t="s">
        <v>32</v>
      </c>
      <c r="L1" s="3" t="s">
        <v>30</v>
      </c>
      <c r="M1" s="3" t="s">
        <v>31</v>
      </c>
      <c r="O1" s="4" t="s">
        <v>33</v>
      </c>
    </row>
    <row r="2" spans="1:15" ht="15.75" customHeight="1" x14ac:dyDescent="0.3">
      <c r="A2" s="53">
        <v>46184</v>
      </c>
      <c r="B2" s="54">
        <v>0.66666666666666663</v>
      </c>
      <c r="C2" s="55" t="s">
        <v>13</v>
      </c>
      <c r="D2" s="46">
        <v>2</v>
      </c>
      <c r="E2" s="46" t="s">
        <v>1</v>
      </c>
      <c r="F2" s="46">
        <v>2</v>
      </c>
      <c r="G2" s="55" t="s">
        <v>88</v>
      </c>
      <c r="H2" s="141"/>
      <c r="I2" s="135"/>
      <c r="J2" s="142"/>
      <c r="K2" s="8" t="str">
        <f t="shared" ref="K2:K36" si="0">IF(D2="","",IF(D2&gt;F2,C2,IF(F2&gt;D2,G2,"EMPATE")))</f>
        <v>EMPATE</v>
      </c>
      <c r="L2" s="9">
        <f t="shared" ref="L2:L36" si="1">IF(D2="","",IF(D2&gt;F2,D2,IF(F2&gt;D2,F2,D2)))</f>
        <v>2</v>
      </c>
      <c r="M2" s="9">
        <f t="shared" ref="M2:M36" si="2">IF(D2="","",IF(D2&lt;F2,D2,IF(F2&lt;D2,F2,D2)))</f>
        <v>2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0</v>
      </c>
    </row>
    <row r="3" spans="1:15" ht="15.75" customHeight="1" x14ac:dyDescent="0.3">
      <c r="A3" s="53">
        <v>46184</v>
      </c>
      <c r="B3" s="54">
        <v>0.95833333333333337</v>
      </c>
      <c r="C3" s="55" t="s">
        <v>15</v>
      </c>
      <c r="D3" s="46">
        <v>1</v>
      </c>
      <c r="E3" s="46" t="s">
        <v>1</v>
      </c>
      <c r="F3" s="46">
        <v>1</v>
      </c>
      <c r="G3" s="55" t="s">
        <v>111</v>
      </c>
      <c r="H3" s="141"/>
      <c r="I3" s="135"/>
      <c r="J3" s="142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53">
        <v>46185</v>
      </c>
      <c r="B4" s="54">
        <v>0.66666666666666663</v>
      </c>
      <c r="C4" s="55" t="s">
        <v>105</v>
      </c>
      <c r="D4" s="46">
        <v>1</v>
      </c>
      <c r="E4" s="46" t="s">
        <v>1</v>
      </c>
      <c r="F4" s="46">
        <v>1</v>
      </c>
      <c r="G4" s="55" t="s">
        <v>112</v>
      </c>
      <c r="K4" s="8" t="str">
        <f t="shared" si="0"/>
        <v>EMPATE</v>
      </c>
      <c r="L4" s="9">
        <f t="shared" si="1"/>
        <v>1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9</v>
      </c>
    </row>
    <row r="5" spans="1:15" ht="15.75" customHeight="1" x14ac:dyDescent="0.3">
      <c r="A5" s="53">
        <v>46185</v>
      </c>
      <c r="B5" s="54">
        <v>0.91666666666666663</v>
      </c>
      <c r="C5" s="55" t="s">
        <v>104</v>
      </c>
      <c r="D5" s="46">
        <v>2</v>
      </c>
      <c r="E5" s="46" t="s">
        <v>1</v>
      </c>
      <c r="F5" s="46">
        <v>1</v>
      </c>
      <c r="G5" s="55" t="s">
        <v>115</v>
      </c>
      <c r="I5" s="18"/>
      <c r="K5" s="8" t="str">
        <f t="shared" si="0"/>
        <v>Estados Unidos</v>
      </c>
      <c r="L5" s="9">
        <f t="shared" si="1"/>
        <v>2</v>
      </c>
      <c r="M5" s="9">
        <f t="shared" si="2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3">
      <c r="A6" s="53">
        <v>46186</v>
      </c>
      <c r="B6" s="54">
        <v>0.66666666666666663</v>
      </c>
      <c r="C6" s="55" t="s">
        <v>97</v>
      </c>
      <c r="D6" s="46">
        <v>0</v>
      </c>
      <c r="E6" s="46" t="s">
        <v>1</v>
      </c>
      <c r="F6" s="46">
        <v>2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0"/>
        <v>Suíça</v>
      </c>
      <c r="L6" s="9">
        <f t="shared" si="1"/>
        <v>2</v>
      </c>
      <c r="M6" s="9">
        <f t="shared" si="2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53">
        <v>46186</v>
      </c>
      <c r="B7" s="54">
        <v>0.79166666666666663</v>
      </c>
      <c r="C7" s="55" t="s">
        <v>11</v>
      </c>
      <c r="D7" s="46">
        <v>2</v>
      </c>
      <c r="E7" s="46" t="s">
        <v>1</v>
      </c>
      <c r="F7" s="46">
        <v>1</v>
      </c>
      <c r="G7" s="55" t="s">
        <v>4</v>
      </c>
      <c r="H7" s="15">
        <v>9</v>
      </c>
      <c r="I7" s="15">
        <f>COUNTIF($O$2:$O$105,9)</f>
        <v>5</v>
      </c>
      <c r="J7" s="15">
        <f>H7*I7</f>
        <v>45</v>
      </c>
      <c r="K7" s="8" t="str">
        <f t="shared" si="0"/>
        <v>Brasil</v>
      </c>
      <c r="L7" s="9">
        <f t="shared" si="1"/>
        <v>2</v>
      </c>
      <c r="M7" s="9">
        <f t="shared" si="2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53">
        <v>46186</v>
      </c>
      <c r="B8" s="54">
        <v>0.91666666666666663</v>
      </c>
      <c r="C8" s="55" t="s">
        <v>113</v>
      </c>
      <c r="D8" s="46">
        <v>1</v>
      </c>
      <c r="E8" s="46" t="s">
        <v>1</v>
      </c>
      <c r="F8" s="46">
        <v>3</v>
      </c>
      <c r="G8" s="55" t="s">
        <v>114</v>
      </c>
      <c r="H8" s="15">
        <v>6</v>
      </c>
      <c r="I8" s="15">
        <f>COUNTIF($O$2:$O$105,6)</f>
        <v>12</v>
      </c>
      <c r="J8" s="15">
        <f t="shared" ref="J8:J11" si="3">H8*I8</f>
        <v>72</v>
      </c>
      <c r="K8" s="8" t="str">
        <f t="shared" si="0"/>
        <v>Escócia</v>
      </c>
      <c r="L8" s="9">
        <f t="shared" si="1"/>
        <v>3</v>
      </c>
      <c r="M8" s="9">
        <f t="shared" si="2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3</v>
      </c>
    </row>
    <row r="9" spans="1:15" ht="15.75" customHeight="1" x14ac:dyDescent="0.3">
      <c r="A9" s="53">
        <v>46187</v>
      </c>
      <c r="B9" s="54">
        <v>4.1666666666666664E-2</v>
      </c>
      <c r="C9" s="55" t="s">
        <v>8</v>
      </c>
      <c r="D9" s="46">
        <v>1</v>
      </c>
      <c r="E9" s="46" t="s">
        <v>1</v>
      </c>
      <c r="F9" s="46">
        <v>2</v>
      </c>
      <c r="G9" s="55" t="s">
        <v>116</v>
      </c>
      <c r="H9" s="15">
        <v>4</v>
      </c>
      <c r="I9" s="15">
        <f>COUNTIF($O$2:$O$105,4)</f>
        <v>16</v>
      </c>
      <c r="J9" s="15">
        <f t="shared" si="3"/>
        <v>64</v>
      </c>
      <c r="K9" s="8" t="str">
        <f t="shared" si="0"/>
        <v>Turquia</v>
      </c>
      <c r="L9" s="9">
        <f t="shared" si="1"/>
        <v>2</v>
      </c>
      <c r="M9" s="9">
        <f t="shared" si="2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53">
        <v>46187</v>
      </c>
      <c r="B10" s="54">
        <v>0.58333333333333337</v>
      </c>
      <c r="C10" s="55" t="s">
        <v>12</v>
      </c>
      <c r="D10" s="46">
        <v>4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9</v>
      </c>
      <c r="J10" s="15">
        <f t="shared" si="3"/>
        <v>27</v>
      </c>
      <c r="K10" s="8" t="str">
        <f t="shared" si="0"/>
        <v>Alemanha</v>
      </c>
      <c r="L10" s="9">
        <f t="shared" si="1"/>
        <v>4</v>
      </c>
      <c r="M10" s="9">
        <f t="shared" si="2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53">
        <v>46187</v>
      </c>
      <c r="B11" s="54">
        <v>0.70833333333333337</v>
      </c>
      <c r="C11" s="55" t="s">
        <v>78</v>
      </c>
      <c r="D11" s="46">
        <v>2</v>
      </c>
      <c r="E11" s="46" t="s">
        <v>1</v>
      </c>
      <c r="F11" s="46">
        <v>1</v>
      </c>
      <c r="G11" s="55" t="s">
        <v>19</v>
      </c>
      <c r="H11" s="15">
        <v>0</v>
      </c>
      <c r="I11" s="15">
        <f>COUNTIF($O$2:$O$105,0)</f>
        <v>30</v>
      </c>
      <c r="J11" s="15">
        <f t="shared" si="3"/>
        <v>0</v>
      </c>
      <c r="K11" s="8" t="str">
        <f t="shared" si="0"/>
        <v>Holanda</v>
      </c>
      <c r="L11" s="9">
        <f t="shared" si="1"/>
        <v>2</v>
      </c>
      <c r="M11" s="9">
        <f t="shared" si="2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" x14ac:dyDescent="0.35">
      <c r="A12" s="53">
        <v>46187</v>
      </c>
      <c r="B12" s="54">
        <v>0.83333333333333337</v>
      </c>
      <c r="C12" s="55" t="s">
        <v>118</v>
      </c>
      <c r="D12" s="46">
        <v>2</v>
      </c>
      <c r="E12" s="46" t="s">
        <v>1</v>
      </c>
      <c r="F12" s="46">
        <v>2</v>
      </c>
      <c r="G12" s="55" t="s">
        <v>102</v>
      </c>
      <c r="H12" s="15"/>
      <c r="I12" s="16" t="s">
        <v>46</v>
      </c>
      <c r="J12" s="17">
        <f>SUM(J7:J11)</f>
        <v>208</v>
      </c>
      <c r="K12" s="8" t="str">
        <f t="shared" si="0"/>
        <v>EMPATE</v>
      </c>
      <c r="L12" s="9">
        <f t="shared" si="1"/>
        <v>2</v>
      </c>
      <c r="M12" s="9">
        <f t="shared" si="2"/>
        <v>2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53">
        <v>46187</v>
      </c>
      <c r="B13" s="54">
        <v>0.95833333333333337</v>
      </c>
      <c r="C13" s="55" t="s">
        <v>14</v>
      </c>
      <c r="D13" s="46">
        <v>2</v>
      </c>
      <c r="E13" s="46" t="s">
        <v>1</v>
      </c>
      <c r="F13" s="46">
        <v>1</v>
      </c>
      <c r="G13" s="55" t="s">
        <v>17</v>
      </c>
      <c r="K13" s="8" t="str">
        <f t="shared" si="0"/>
        <v>Suécia</v>
      </c>
      <c r="L13" s="9">
        <f t="shared" si="1"/>
        <v>2</v>
      </c>
      <c r="M13" s="9">
        <f t="shared" si="2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</row>
    <row r="14" spans="1:15" x14ac:dyDescent="0.3">
      <c r="A14" s="53">
        <v>46188</v>
      </c>
      <c r="B14" s="54">
        <v>0.54166666666666663</v>
      </c>
      <c r="C14" s="55" t="s">
        <v>6</v>
      </c>
      <c r="D14" s="46">
        <v>4</v>
      </c>
      <c r="E14" s="46" t="s">
        <v>1</v>
      </c>
      <c r="F14" s="46">
        <v>0</v>
      </c>
      <c r="G14" s="55" t="s">
        <v>121</v>
      </c>
      <c r="K14" s="8" t="str">
        <f t="shared" si="0"/>
        <v>Espanha</v>
      </c>
      <c r="L14" s="9">
        <f t="shared" si="1"/>
        <v>4</v>
      </c>
      <c r="M14" s="9">
        <f t="shared" si="2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53">
        <v>46188</v>
      </c>
      <c r="B15" s="54">
        <v>0.66666666666666663</v>
      </c>
      <c r="C15" s="55" t="s">
        <v>16</v>
      </c>
      <c r="D15" s="46">
        <v>2</v>
      </c>
      <c r="E15" s="46" t="s">
        <v>1</v>
      </c>
      <c r="F15" s="46">
        <v>1</v>
      </c>
      <c r="G15" s="55" t="s">
        <v>119</v>
      </c>
      <c r="K15" s="8" t="str">
        <f t="shared" si="0"/>
        <v>Bélgica</v>
      </c>
      <c r="L15" s="9">
        <f t="shared" si="1"/>
        <v>2</v>
      </c>
      <c r="M15" s="9">
        <f t="shared" si="2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53">
        <v>46188</v>
      </c>
      <c r="B16" s="54">
        <v>0.79166666666666663</v>
      </c>
      <c r="C16" s="55" t="s">
        <v>2</v>
      </c>
      <c r="D16" s="46">
        <v>1</v>
      </c>
      <c r="E16" s="46" t="s">
        <v>1</v>
      </c>
      <c r="F16" s="46">
        <v>2</v>
      </c>
      <c r="G16" s="55" t="s">
        <v>3</v>
      </c>
      <c r="K16" s="8" t="str">
        <f t="shared" si="0"/>
        <v>Uruguai</v>
      </c>
      <c r="L16" s="9">
        <f t="shared" si="1"/>
        <v>2</v>
      </c>
      <c r="M16" s="9">
        <f t="shared" si="2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53">
        <v>46188</v>
      </c>
      <c r="B17" s="54">
        <v>0.91666666666666663</v>
      </c>
      <c r="C17" s="55" t="s">
        <v>103</v>
      </c>
      <c r="D17" s="46">
        <v>1</v>
      </c>
      <c r="E17" s="46" t="s">
        <v>1</v>
      </c>
      <c r="F17" s="46">
        <v>1</v>
      </c>
      <c r="G17" s="55" t="s">
        <v>120</v>
      </c>
      <c r="K17" s="8" t="str">
        <f t="shared" si="0"/>
        <v>EMPATE</v>
      </c>
      <c r="L17" s="9">
        <f t="shared" si="1"/>
        <v>1</v>
      </c>
      <c r="M17" s="9">
        <f t="shared" si="2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</row>
    <row r="18" spans="1:21" x14ac:dyDescent="0.3">
      <c r="A18" s="53">
        <v>46189</v>
      </c>
      <c r="B18" s="54">
        <v>0.66666666666666663</v>
      </c>
      <c r="C18" s="55" t="s">
        <v>7</v>
      </c>
      <c r="D18" s="46">
        <v>3</v>
      </c>
      <c r="E18" s="46" t="s">
        <v>1</v>
      </c>
      <c r="F18" s="46">
        <v>1</v>
      </c>
      <c r="G18" s="55" t="s">
        <v>20</v>
      </c>
      <c r="K18" s="8" t="str">
        <f t="shared" si="0"/>
        <v>França</v>
      </c>
      <c r="L18" s="9">
        <f t="shared" si="1"/>
        <v>3</v>
      </c>
      <c r="M18" s="9">
        <f t="shared" si="2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</row>
    <row r="19" spans="1:21" x14ac:dyDescent="0.3">
      <c r="A19" s="53">
        <v>46189</v>
      </c>
      <c r="B19" s="54">
        <v>0.79166666666666663</v>
      </c>
      <c r="C19" s="55" t="s">
        <v>122</v>
      </c>
      <c r="D19" s="46">
        <v>1</v>
      </c>
      <c r="E19" s="46" t="s">
        <v>1</v>
      </c>
      <c r="F19" s="46">
        <v>1</v>
      </c>
      <c r="G19" s="55" t="s">
        <v>123</v>
      </c>
      <c r="K19" s="8" t="str">
        <f t="shared" si="0"/>
        <v>EMPATE</v>
      </c>
      <c r="L19" s="9">
        <f t="shared" si="1"/>
        <v>1</v>
      </c>
      <c r="M19" s="9">
        <f t="shared" si="2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</row>
    <row r="20" spans="1:21" x14ac:dyDescent="0.3">
      <c r="A20" s="53">
        <v>46189</v>
      </c>
      <c r="B20" s="54">
        <v>0.91666666666666663</v>
      </c>
      <c r="C20" s="55" t="s">
        <v>9</v>
      </c>
      <c r="D20" s="46">
        <v>3</v>
      </c>
      <c r="E20" s="46" t="s">
        <v>1</v>
      </c>
      <c r="F20" s="46">
        <v>1</v>
      </c>
      <c r="G20" s="55" t="s">
        <v>124</v>
      </c>
      <c r="K20" s="8" t="str">
        <f t="shared" si="0"/>
        <v>Argentina</v>
      </c>
      <c r="L20" s="9">
        <f t="shared" si="1"/>
        <v>3</v>
      </c>
      <c r="M20" s="9">
        <f t="shared" si="2"/>
        <v>1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6</v>
      </c>
    </row>
    <row r="21" spans="1:21" x14ac:dyDescent="0.3">
      <c r="A21" s="53">
        <v>46190</v>
      </c>
      <c r="B21" s="54">
        <v>4.1666666666666664E-2</v>
      </c>
      <c r="C21" s="55" t="s">
        <v>125</v>
      </c>
      <c r="D21" s="46">
        <v>1</v>
      </c>
      <c r="E21" s="46" t="s">
        <v>1</v>
      </c>
      <c r="F21" s="46">
        <v>1</v>
      </c>
      <c r="G21" s="55" t="s">
        <v>126</v>
      </c>
      <c r="K21" s="8" t="str">
        <f t="shared" si="0"/>
        <v>EMPATE</v>
      </c>
      <c r="L21" s="9">
        <f t="shared" si="1"/>
        <v>1</v>
      </c>
      <c r="M21" s="9">
        <f t="shared" si="2"/>
        <v>1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0</v>
      </c>
    </row>
    <row r="22" spans="1:21" x14ac:dyDescent="0.3">
      <c r="A22" s="53">
        <v>46190</v>
      </c>
      <c r="B22" s="54">
        <v>0.58333333333333337</v>
      </c>
      <c r="C22" s="55" t="s">
        <v>5</v>
      </c>
      <c r="D22" s="46">
        <v>5</v>
      </c>
      <c r="E22" s="46" t="s">
        <v>1</v>
      </c>
      <c r="F22" s="46">
        <v>1</v>
      </c>
      <c r="G22" s="55" t="s">
        <v>127</v>
      </c>
      <c r="K22" s="8" t="str">
        <f t="shared" si="0"/>
        <v>Portugal</v>
      </c>
      <c r="L22" s="9">
        <f t="shared" si="1"/>
        <v>5</v>
      </c>
      <c r="M22" s="9">
        <f t="shared" si="2"/>
        <v>1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53">
        <v>46190</v>
      </c>
      <c r="B23" s="54">
        <v>0.70833333333333337</v>
      </c>
      <c r="C23" s="55" t="s">
        <v>18</v>
      </c>
      <c r="D23" s="46">
        <v>2</v>
      </c>
      <c r="E23" s="46" t="s">
        <v>1</v>
      </c>
      <c r="F23" s="46">
        <v>2</v>
      </c>
      <c r="G23" s="55" t="s">
        <v>10</v>
      </c>
      <c r="K23" s="8" t="str">
        <f t="shared" si="0"/>
        <v>EMPATE</v>
      </c>
      <c r="L23" s="9">
        <f t="shared" si="1"/>
        <v>2</v>
      </c>
      <c r="M23" s="9">
        <f t="shared" si="2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</row>
    <row r="24" spans="1:21" x14ac:dyDescent="0.3">
      <c r="A24" s="53">
        <v>46190</v>
      </c>
      <c r="B24" s="54">
        <v>0.83333333333333337</v>
      </c>
      <c r="C24" s="55" t="s">
        <v>106</v>
      </c>
      <c r="D24" s="46">
        <v>2</v>
      </c>
      <c r="E24" s="46" t="s">
        <v>1</v>
      </c>
      <c r="F24" s="46">
        <v>1</v>
      </c>
      <c r="G24" s="55" t="s">
        <v>130</v>
      </c>
      <c r="K24" s="8" t="str">
        <f t="shared" si="0"/>
        <v>Gana</v>
      </c>
      <c r="L24" s="9">
        <f t="shared" si="1"/>
        <v>2</v>
      </c>
      <c r="M24" s="9">
        <f t="shared" si="2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1" x14ac:dyDescent="0.3">
      <c r="A25" s="53">
        <v>46190</v>
      </c>
      <c r="B25" s="54">
        <v>0.95833333333333337</v>
      </c>
      <c r="C25" s="55" t="s">
        <v>128</v>
      </c>
      <c r="D25" s="46">
        <v>1</v>
      </c>
      <c r="E25" s="46" t="s">
        <v>1</v>
      </c>
      <c r="F25" s="46">
        <v>2</v>
      </c>
      <c r="G25" s="55" t="s">
        <v>129</v>
      </c>
      <c r="K25" s="8" t="str">
        <f t="shared" si="0"/>
        <v>Colômbia</v>
      </c>
      <c r="L25" s="9">
        <f t="shared" si="1"/>
        <v>2</v>
      </c>
      <c r="M25" s="9">
        <f t="shared" si="2"/>
        <v>1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4</v>
      </c>
    </row>
    <row r="26" spans="1:21" x14ac:dyDescent="0.3">
      <c r="A26" s="100">
        <v>46191</v>
      </c>
      <c r="B26" s="101">
        <v>0.54166666666666663</v>
      </c>
      <c r="C26" s="102" t="s">
        <v>111</v>
      </c>
      <c r="D26" s="103">
        <v>1</v>
      </c>
      <c r="E26" s="103" t="s">
        <v>1</v>
      </c>
      <c r="F26" s="103">
        <v>1</v>
      </c>
      <c r="G26" s="102" t="s">
        <v>88</v>
      </c>
      <c r="K26" s="8" t="str">
        <f t="shared" si="0"/>
        <v>EMPATE</v>
      </c>
      <c r="L26" s="9">
        <f t="shared" si="1"/>
        <v>1</v>
      </c>
      <c r="M26" s="9">
        <f t="shared" si="2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9</v>
      </c>
      <c r="Q26" s="86"/>
      <c r="R26" s="48"/>
      <c r="S26" s="48"/>
      <c r="T26" s="48"/>
      <c r="U26" s="86"/>
    </row>
    <row r="27" spans="1:21" x14ac:dyDescent="0.3">
      <c r="A27" s="100">
        <v>46191</v>
      </c>
      <c r="B27" s="101">
        <v>0.66666666666666663</v>
      </c>
      <c r="C27" s="102" t="s">
        <v>72</v>
      </c>
      <c r="D27" s="103">
        <v>1</v>
      </c>
      <c r="E27" s="103" t="s">
        <v>1</v>
      </c>
      <c r="F27" s="103">
        <v>1</v>
      </c>
      <c r="G27" s="102" t="s">
        <v>112</v>
      </c>
      <c r="K27" s="8" t="str">
        <f t="shared" si="0"/>
        <v>EMPATE</v>
      </c>
      <c r="L27" s="9">
        <f t="shared" si="1"/>
        <v>1</v>
      </c>
      <c r="M27" s="9">
        <f t="shared" si="2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86"/>
      <c r="R27" s="48"/>
      <c r="S27" s="48"/>
      <c r="T27" s="48"/>
      <c r="U27" s="86"/>
    </row>
    <row r="28" spans="1:21" x14ac:dyDescent="0.3">
      <c r="A28" s="100">
        <v>46191</v>
      </c>
      <c r="B28" s="101">
        <v>0.79166666666666663</v>
      </c>
      <c r="C28" s="102" t="s">
        <v>105</v>
      </c>
      <c r="D28" s="103">
        <v>1</v>
      </c>
      <c r="E28" s="103" t="s">
        <v>1</v>
      </c>
      <c r="F28" s="103">
        <v>0</v>
      </c>
      <c r="G28" s="102" t="s">
        <v>97</v>
      </c>
      <c r="K28" s="8" t="str">
        <f t="shared" si="0"/>
        <v>Canadá</v>
      </c>
      <c r="L28" s="9">
        <f t="shared" si="1"/>
        <v>1</v>
      </c>
      <c r="M28" s="9">
        <f t="shared" si="2"/>
        <v>0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4</v>
      </c>
      <c r="Q28" s="86"/>
      <c r="R28" s="48"/>
      <c r="S28" s="48"/>
      <c r="T28" s="48"/>
      <c r="U28" s="86"/>
    </row>
    <row r="29" spans="1:21" x14ac:dyDescent="0.3">
      <c r="A29" s="100">
        <v>46191</v>
      </c>
      <c r="B29" s="101">
        <v>0.91666666666666663</v>
      </c>
      <c r="C29" s="102" t="s">
        <v>13</v>
      </c>
      <c r="D29" s="103">
        <v>2</v>
      </c>
      <c r="E29" s="103" t="s">
        <v>1</v>
      </c>
      <c r="F29" s="103">
        <v>1</v>
      </c>
      <c r="G29" s="102" t="s">
        <v>15</v>
      </c>
      <c r="K29" s="8" t="str">
        <f t="shared" si="0"/>
        <v>México</v>
      </c>
      <c r="L29" s="9">
        <f t="shared" si="1"/>
        <v>2</v>
      </c>
      <c r="M29" s="9">
        <f t="shared" si="2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3</v>
      </c>
      <c r="Q29" s="86"/>
      <c r="R29" s="48"/>
      <c r="S29" s="48"/>
      <c r="T29" s="48"/>
      <c r="U29" s="86"/>
    </row>
    <row r="30" spans="1:21" x14ac:dyDescent="0.3">
      <c r="A30" s="100">
        <v>46192</v>
      </c>
      <c r="B30" s="101">
        <v>0.66666666666666663</v>
      </c>
      <c r="C30" s="102" t="s">
        <v>104</v>
      </c>
      <c r="D30" s="103">
        <v>1</v>
      </c>
      <c r="E30" s="103" t="s">
        <v>1</v>
      </c>
      <c r="F30" s="103">
        <v>0</v>
      </c>
      <c r="G30" s="102" t="s">
        <v>8</v>
      </c>
      <c r="K30" s="8" t="str">
        <f t="shared" si="0"/>
        <v>Estados Unidos</v>
      </c>
      <c r="L30" s="9">
        <f t="shared" si="1"/>
        <v>1</v>
      </c>
      <c r="M30" s="9">
        <f t="shared" si="2"/>
        <v>0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4</v>
      </c>
      <c r="Q30" s="86"/>
      <c r="R30" s="48"/>
      <c r="S30" s="48"/>
      <c r="T30" s="48"/>
      <c r="U30" s="86"/>
    </row>
    <row r="31" spans="1:21" x14ac:dyDescent="0.3">
      <c r="A31" s="100">
        <v>46192</v>
      </c>
      <c r="B31" s="101">
        <v>0.79166666666666663</v>
      </c>
      <c r="C31" s="102" t="s">
        <v>114</v>
      </c>
      <c r="D31" s="103">
        <v>1</v>
      </c>
      <c r="E31" s="103" t="s">
        <v>1</v>
      </c>
      <c r="F31" s="103">
        <v>1</v>
      </c>
      <c r="G31" s="102" t="s">
        <v>4</v>
      </c>
      <c r="K31" s="8" t="str">
        <f t="shared" si="0"/>
        <v>EMPATE</v>
      </c>
      <c r="L31" s="9">
        <f t="shared" si="1"/>
        <v>1</v>
      </c>
      <c r="M31" s="9">
        <f t="shared" si="2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0</v>
      </c>
      <c r="Q31" s="86"/>
      <c r="R31" s="48"/>
      <c r="S31" s="48"/>
      <c r="T31" s="48"/>
      <c r="U31" s="86"/>
    </row>
    <row r="32" spans="1:21" x14ac:dyDescent="0.3">
      <c r="A32" s="100">
        <v>46192</v>
      </c>
      <c r="B32" s="101">
        <v>0.89583333333333337</v>
      </c>
      <c r="C32" s="102" t="s">
        <v>11</v>
      </c>
      <c r="D32" s="103">
        <v>2</v>
      </c>
      <c r="E32" s="103" t="s">
        <v>1</v>
      </c>
      <c r="F32" s="103">
        <v>0</v>
      </c>
      <c r="G32" s="102" t="s">
        <v>113</v>
      </c>
      <c r="K32" s="8" t="str">
        <f t="shared" si="0"/>
        <v>Brasil</v>
      </c>
      <c r="L32" s="9">
        <f t="shared" si="1"/>
        <v>2</v>
      </c>
      <c r="M32" s="9">
        <f t="shared" si="2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Q32" s="86"/>
      <c r="R32" s="48"/>
      <c r="S32" s="48"/>
      <c r="T32" s="48"/>
      <c r="U32" s="86"/>
    </row>
    <row r="33" spans="1:21" x14ac:dyDescent="0.3">
      <c r="A33" s="100">
        <v>46193</v>
      </c>
      <c r="B33" s="101">
        <v>4.1666666666666664E-2</v>
      </c>
      <c r="C33" s="102" t="s">
        <v>116</v>
      </c>
      <c r="D33" s="103">
        <v>1</v>
      </c>
      <c r="E33" s="103" t="s">
        <v>1</v>
      </c>
      <c r="F33" s="103">
        <v>0</v>
      </c>
      <c r="G33" s="102" t="s">
        <v>115</v>
      </c>
      <c r="K33" s="8" t="str">
        <f t="shared" si="0"/>
        <v>Turquia</v>
      </c>
      <c r="L33" s="9">
        <f t="shared" si="1"/>
        <v>1</v>
      </c>
      <c r="M33" s="9">
        <f t="shared" si="2"/>
        <v>0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86"/>
      <c r="R33" s="48"/>
      <c r="S33" s="48"/>
      <c r="T33" s="48"/>
      <c r="U33" s="86"/>
    </row>
    <row r="34" spans="1:21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1</v>
      </c>
      <c r="G34" s="102" t="s">
        <v>14</v>
      </c>
      <c r="K34" s="8" t="str">
        <f t="shared" si="0"/>
        <v>Holanda</v>
      </c>
      <c r="L34" s="9">
        <f t="shared" si="1"/>
        <v>2</v>
      </c>
      <c r="M34" s="9">
        <f t="shared" si="2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Q34" s="86"/>
      <c r="R34" s="48"/>
      <c r="S34" s="48"/>
      <c r="T34" s="48"/>
      <c r="U34" s="86"/>
    </row>
    <row r="35" spans="1:21" x14ac:dyDescent="0.3">
      <c r="A35" s="100">
        <v>46193</v>
      </c>
      <c r="B35" s="101">
        <v>0.70833333333333337</v>
      </c>
      <c r="C35" s="102" t="s">
        <v>12</v>
      </c>
      <c r="D35" s="103">
        <v>3</v>
      </c>
      <c r="E35" s="103" t="s">
        <v>1</v>
      </c>
      <c r="F35" s="103">
        <v>1</v>
      </c>
      <c r="G35" s="102" t="s">
        <v>118</v>
      </c>
      <c r="K35" s="8" t="str">
        <f t="shared" si="0"/>
        <v>Alemanha</v>
      </c>
      <c r="L35" s="9">
        <f t="shared" si="1"/>
        <v>3</v>
      </c>
      <c r="M35" s="9">
        <f t="shared" si="2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Q35" s="86"/>
      <c r="R35" s="48"/>
      <c r="S35" s="48"/>
      <c r="T35" s="48"/>
      <c r="U35" s="86"/>
    </row>
    <row r="36" spans="1:21" x14ac:dyDescent="0.3">
      <c r="A36" s="100">
        <v>46193</v>
      </c>
      <c r="B36" s="101">
        <v>0.875</v>
      </c>
      <c r="C36" s="102" t="s">
        <v>102</v>
      </c>
      <c r="D36" s="103">
        <v>2</v>
      </c>
      <c r="E36" s="103" t="s">
        <v>1</v>
      </c>
      <c r="F36" s="103">
        <v>0</v>
      </c>
      <c r="G36" s="102" t="s">
        <v>117</v>
      </c>
      <c r="K36" s="8" t="str">
        <f t="shared" si="0"/>
        <v>Equador</v>
      </c>
      <c r="L36" s="9">
        <f t="shared" si="1"/>
        <v>2</v>
      </c>
      <c r="M36" s="9">
        <f t="shared" si="2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86"/>
      <c r="R36" s="48"/>
      <c r="S36" s="48"/>
      <c r="T36" s="48"/>
      <c r="U36" s="86"/>
    </row>
    <row r="37" spans="1:21" x14ac:dyDescent="0.3">
      <c r="A37" s="100">
        <v>46194</v>
      </c>
      <c r="B37" s="101">
        <v>4.1666666666666664E-2</v>
      </c>
      <c r="C37" s="102" t="s">
        <v>17</v>
      </c>
      <c r="D37" s="103">
        <v>0</v>
      </c>
      <c r="E37" s="103" t="s">
        <v>1</v>
      </c>
      <c r="F37" s="103">
        <v>2</v>
      </c>
      <c r="G37" s="102" t="s">
        <v>19</v>
      </c>
      <c r="K37" s="8" t="str">
        <f t="shared" ref="K37:K47" si="4">IF(D37="","",IF(D37&gt;F37,C37,IF(F37&gt;D37,G37,"EMPATE")))</f>
        <v>Japão</v>
      </c>
      <c r="L37" s="9">
        <f t="shared" ref="L37:L47" si="5">IF(D37="","",IF(D37&gt;F37,D37,IF(F37&gt;D37,F37,D37)))</f>
        <v>2</v>
      </c>
      <c r="M37" s="9">
        <f t="shared" ref="M37:M47" si="6">IF(D37="","",IF(D37&lt;F37,D37,IF(F37&lt;D37,F37,D37)))</f>
        <v>0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4</v>
      </c>
      <c r="Q37" s="86"/>
      <c r="R37" s="48"/>
      <c r="S37" s="48"/>
      <c r="T37" s="48"/>
      <c r="U37" s="86"/>
    </row>
    <row r="38" spans="1:21" x14ac:dyDescent="0.3">
      <c r="A38" s="100">
        <v>46194</v>
      </c>
      <c r="B38" s="101">
        <v>0.54166666666666663</v>
      </c>
      <c r="C38" s="102" t="s">
        <v>6</v>
      </c>
      <c r="D38" s="103">
        <v>3</v>
      </c>
      <c r="E38" s="103" t="s">
        <v>1</v>
      </c>
      <c r="F38" s="103">
        <v>1</v>
      </c>
      <c r="G38" s="102" t="s">
        <v>2</v>
      </c>
      <c r="K38" s="8" t="str">
        <f t="shared" si="4"/>
        <v>Espanha</v>
      </c>
      <c r="L38" s="9">
        <f t="shared" si="5"/>
        <v>3</v>
      </c>
      <c r="M38" s="9">
        <f t="shared" si="6"/>
        <v>1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3</v>
      </c>
      <c r="Q38" s="86"/>
      <c r="R38" s="48"/>
      <c r="S38" s="48"/>
      <c r="T38" s="48"/>
      <c r="U38" s="86"/>
    </row>
    <row r="39" spans="1:21" x14ac:dyDescent="0.3">
      <c r="A39" s="100">
        <v>46194</v>
      </c>
      <c r="B39" s="101">
        <v>0.66666666666666663</v>
      </c>
      <c r="C39" s="102" t="s">
        <v>16</v>
      </c>
      <c r="D39" s="103">
        <v>1</v>
      </c>
      <c r="E39" s="103" t="s">
        <v>1</v>
      </c>
      <c r="F39" s="103">
        <v>1</v>
      </c>
      <c r="G39" s="102" t="s">
        <v>103</v>
      </c>
      <c r="K39" s="8" t="str">
        <f t="shared" si="4"/>
        <v>EMPATE</v>
      </c>
      <c r="L39" s="9">
        <f t="shared" si="5"/>
        <v>1</v>
      </c>
      <c r="M39" s="9">
        <f t="shared" si="6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6</v>
      </c>
      <c r="Q39" s="86"/>
      <c r="R39" s="48"/>
      <c r="S39" s="48"/>
      <c r="T39" s="48"/>
      <c r="U39" s="86"/>
    </row>
    <row r="40" spans="1:21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0</v>
      </c>
      <c r="G40" s="102" t="s">
        <v>121</v>
      </c>
      <c r="K40" s="8" t="str">
        <f t="shared" si="4"/>
        <v>Uruguai</v>
      </c>
      <c r="L40" s="9">
        <f t="shared" si="5"/>
        <v>2</v>
      </c>
      <c r="M40" s="9">
        <f t="shared" si="6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86"/>
      <c r="R40" s="48"/>
      <c r="S40" s="48"/>
      <c r="T40" s="48"/>
      <c r="U40" s="86"/>
    </row>
    <row r="41" spans="1:21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1</v>
      </c>
      <c r="G41" s="102" t="s">
        <v>119</v>
      </c>
      <c r="K41" s="8" t="str">
        <f t="shared" si="4"/>
        <v>EMPATE</v>
      </c>
      <c r="L41" s="9">
        <f t="shared" si="5"/>
        <v>1</v>
      </c>
      <c r="M41" s="9">
        <f t="shared" si="6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86"/>
      <c r="R41" s="48"/>
      <c r="S41" s="48"/>
      <c r="T41" s="48"/>
      <c r="U41" s="86"/>
    </row>
    <row r="42" spans="1:21" x14ac:dyDescent="0.3">
      <c r="A42" s="100">
        <v>46195</v>
      </c>
      <c r="B42" s="101">
        <v>0.58333333333333337</v>
      </c>
      <c r="C42" s="102" t="s">
        <v>9</v>
      </c>
      <c r="D42" s="103">
        <v>2</v>
      </c>
      <c r="E42" s="103" t="s">
        <v>1</v>
      </c>
      <c r="F42" s="103">
        <v>1</v>
      </c>
      <c r="G42" s="102" t="s">
        <v>125</v>
      </c>
      <c r="K42" s="8" t="str">
        <f t="shared" si="4"/>
        <v>Argentina</v>
      </c>
      <c r="L42" s="9">
        <f t="shared" si="5"/>
        <v>2</v>
      </c>
      <c r="M42" s="9">
        <f t="shared" si="6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86"/>
      <c r="R42" s="48"/>
      <c r="S42" s="48"/>
      <c r="T42" s="48"/>
      <c r="U42" s="86"/>
    </row>
    <row r="43" spans="1:21" x14ac:dyDescent="0.3">
      <c r="A43" s="100">
        <v>46195</v>
      </c>
      <c r="B43" s="101">
        <v>0.75</v>
      </c>
      <c r="C43" s="102" t="s">
        <v>7</v>
      </c>
      <c r="D43" s="103">
        <v>3</v>
      </c>
      <c r="E43" s="103" t="s">
        <v>1</v>
      </c>
      <c r="F43" s="103">
        <v>0</v>
      </c>
      <c r="G43" s="102" t="s">
        <v>122</v>
      </c>
      <c r="K43" s="8" t="str">
        <f t="shared" si="4"/>
        <v>França</v>
      </c>
      <c r="L43" s="9">
        <f t="shared" si="5"/>
        <v>3</v>
      </c>
      <c r="M43" s="9">
        <f t="shared" si="6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9</v>
      </c>
      <c r="Q43" s="86"/>
      <c r="R43" s="48"/>
      <c r="S43" s="48"/>
      <c r="T43" s="48"/>
      <c r="U43" s="86"/>
    </row>
    <row r="44" spans="1:21" x14ac:dyDescent="0.3">
      <c r="A44" s="100">
        <v>46195</v>
      </c>
      <c r="B44" s="101">
        <v>0.875</v>
      </c>
      <c r="C44" s="102" t="s">
        <v>123</v>
      </c>
      <c r="D44" s="103">
        <v>1</v>
      </c>
      <c r="E44" s="103" t="s">
        <v>1</v>
      </c>
      <c r="F44" s="103">
        <v>1</v>
      </c>
      <c r="G44" s="102" t="s">
        <v>20</v>
      </c>
      <c r="K44" s="8" t="str">
        <f t="shared" si="4"/>
        <v>EMPATE</v>
      </c>
      <c r="L44" s="9">
        <f t="shared" si="5"/>
        <v>1</v>
      </c>
      <c r="M44" s="9">
        <f t="shared" si="6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0</v>
      </c>
      <c r="Q44" s="86"/>
      <c r="R44" s="48"/>
      <c r="S44" s="48"/>
      <c r="T44" s="48"/>
      <c r="U44" s="86"/>
    </row>
    <row r="45" spans="1:21" x14ac:dyDescent="0.3">
      <c r="A45" s="100">
        <v>46196</v>
      </c>
      <c r="B45" s="101">
        <v>0</v>
      </c>
      <c r="C45" s="102" t="s">
        <v>126</v>
      </c>
      <c r="D45" s="103">
        <v>1</v>
      </c>
      <c r="E45" s="103" t="s">
        <v>1</v>
      </c>
      <c r="F45" s="103">
        <v>1</v>
      </c>
      <c r="G45" s="102" t="s">
        <v>124</v>
      </c>
      <c r="K45" s="8" t="str">
        <f t="shared" si="4"/>
        <v>EMPATE</v>
      </c>
      <c r="L45" s="9">
        <f t="shared" si="5"/>
        <v>1</v>
      </c>
      <c r="M45" s="9">
        <f t="shared" si="6"/>
        <v>1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0</v>
      </c>
      <c r="Q45" s="86"/>
      <c r="R45" s="48"/>
      <c r="S45" s="48"/>
      <c r="T45" s="48"/>
      <c r="U45" s="86"/>
    </row>
    <row r="46" spans="1:21" ht="15" customHeight="1" x14ac:dyDescent="0.3">
      <c r="A46" s="100">
        <v>46196</v>
      </c>
      <c r="B46" s="101">
        <v>0.58333333333333337</v>
      </c>
      <c r="C46" s="102" t="s">
        <v>5</v>
      </c>
      <c r="D46" s="103">
        <v>3</v>
      </c>
      <c r="E46" s="103" t="s">
        <v>1</v>
      </c>
      <c r="F46" s="103">
        <v>0</v>
      </c>
      <c r="G46" s="102" t="s">
        <v>128</v>
      </c>
      <c r="K46" s="8" t="str">
        <f t="shared" si="4"/>
        <v>Portugal</v>
      </c>
      <c r="L46" s="9">
        <f t="shared" si="5"/>
        <v>3</v>
      </c>
      <c r="M46" s="9">
        <f t="shared" si="6"/>
        <v>0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4</v>
      </c>
      <c r="Q46" s="86"/>
      <c r="R46" s="48"/>
      <c r="S46" s="48"/>
      <c r="T46" s="48"/>
      <c r="U46" s="86"/>
    </row>
    <row r="47" spans="1:21" x14ac:dyDescent="0.3">
      <c r="A47" s="100">
        <v>46196</v>
      </c>
      <c r="B47" s="101">
        <v>0.70833333333333337</v>
      </c>
      <c r="C47" s="102" t="s">
        <v>18</v>
      </c>
      <c r="D47" s="103">
        <v>2</v>
      </c>
      <c r="E47" s="103" t="s">
        <v>1</v>
      </c>
      <c r="F47" s="103">
        <v>2</v>
      </c>
      <c r="G47" s="102" t="s">
        <v>106</v>
      </c>
      <c r="K47" s="8" t="str">
        <f t="shared" si="4"/>
        <v>EMPATE</v>
      </c>
      <c r="L47" s="9">
        <f t="shared" si="5"/>
        <v>2</v>
      </c>
      <c r="M47" s="9">
        <f t="shared" si="6"/>
        <v>2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6</v>
      </c>
      <c r="Q47" s="86"/>
      <c r="R47" s="48"/>
      <c r="S47" s="48"/>
      <c r="T47" s="48"/>
      <c r="U47" s="86"/>
    </row>
    <row r="48" spans="1:21" x14ac:dyDescent="0.3">
      <c r="A48" s="100">
        <v>46196</v>
      </c>
      <c r="B48" s="101">
        <v>0.83333333333333337</v>
      </c>
      <c r="C48" s="102" t="s">
        <v>130</v>
      </c>
      <c r="D48" s="103">
        <v>1</v>
      </c>
      <c r="E48" s="103" t="s">
        <v>1</v>
      </c>
      <c r="F48" s="103">
        <v>2</v>
      </c>
      <c r="G48" s="102" t="s">
        <v>10</v>
      </c>
      <c r="K48" s="8" t="str">
        <f t="shared" ref="K48:K60" si="7">IF(D48="","",IF(D48&gt;F48,C48,IF(F48&gt;D48,G48,"EMPATE")))</f>
        <v>Croácia</v>
      </c>
      <c r="L48" s="9">
        <f t="shared" ref="L48:L60" si="8">IF(D48="","",IF(D48&gt;F48,D48,IF(F48&gt;D48,F48,D48)))</f>
        <v>2</v>
      </c>
      <c r="M48" s="9">
        <f t="shared" ref="M48:M60" si="9">IF(D48="","",IF(D48&lt;F48,D48,IF(F48&lt;D48,F48,D48)))</f>
        <v>1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3</v>
      </c>
      <c r="Q48" s="86"/>
      <c r="R48" s="48"/>
      <c r="S48" s="48"/>
      <c r="T48" s="48"/>
      <c r="U48" s="86"/>
    </row>
    <row r="49" spans="1:21" x14ac:dyDescent="0.3">
      <c r="A49" s="104">
        <v>46196</v>
      </c>
      <c r="B49" s="101">
        <v>0.95833333333333337</v>
      </c>
      <c r="C49" s="105" t="s">
        <v>129</v>
      </c>
      <c r="D49" s="106">
        <v>2</v>
      </c>
      <c r="E49" s="106" t="s">
        <v>1</v>
      </c>
      <c r="F49" s="106">
        <v>0</v>
      </c>
      <c r="G49" s="105" t="s">
        <v>127</v>
      </c>
      <c r="K49" s="8" t="str">
        <f t="shared" si="7"/>
        <v>Colômbia</v>
      </c>
      <c r="L49" s="9">
        <f t="shared" si="8"/>
        <v>2</v>
      </c>
      <c r="M49" s="9">
        <f t="shared" si="9"/>
        <v>0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4</v>
      </c>
      <c r="Q49" s="86"/>
      <c r="R49" s="48"/>
      <c r="S49" s="48"/>
      <c r="T49" s="48"/>
      <c r="U49" s="86"/>
    </row>
    <row r="50" spans="1:21" x14ac:dyDescent="0.3">
      <c r="A50" s="56">
        <v>46197</v>
      </c>
      <c r="B50" s="54">
        <v>0.66666666666666663</v>
      </c>
      <c r="C50" s="57" t="s">
        <v>72</v>
      </c>
      <c r="D50" s="58">
        <v>1</v>
      </c>
      <c r="E50" s="58" t="s">
        <v>1</v>
      </c>
      <c r="F50" s="58">
        <v>1</v>
      </c>
      <c r="G50" s="57" t="s">
        <v>105</v>
      </c>
      <c r="K50" s="8" t="str">
        <f t="shared" si="7"/>
        <v>EMPATE</v>
      </c>
      <c r="L50" s="9">
        <f t="shared" si="8"/>
        <v>1</v>
      </c>
      <c r="M50" s="9">
        <f t="shared" si="9"/>
        <v>1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0</v>
      </c>
      <c r="Q50" s="86"/>
      <c r="R50" s="48"/>
      <c r="S50" s="48"/>
      <c r="T50" s="48"/>
      <c r="U50" s="86"/>
    </row>
    <row r="51" spans="1:21" x14ac:dyDescent="0.3">
      <c r="A51" s="56">
        <v>46197</v>
      </c>
      <c r="B51" s="54">
        <v>0.66666666666666663</v>
      </c>
      <c r="C51" s="57" t="s">
        <v>112</v>
      </c>
      <c r="D51" s="58">
        <v>2</v>
      </c>
      <c r="E51" s="58" t="s">
        <v>1</v>
      </c>
      <c r="F51" s="58">
        <v>1</v>
      </c>
      <c r="G51" s="57" t="s">
        <v>97</v>
      </c>
      <c r="K51" s="8" t="str">
        <f t="shared" si="7"/>
        <v>Bósnia</v>
      </c>
      <c r="L51" s="9">
        <f t="shared" si="8"/>
        <v>2</v>
      </c>
      <c r="M51" s="9">
        <f t="shared" si="9"/>
        <v>1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4</v>
      </c>
      <c r="Q51" s="86"/>
      <c r="R51" s="48"/>
      <c r="S51" s="48"/>
      <c r="T51" s="48"/>
      <c r="U51" s="86"/>
    </row>
    <row r="52" spans="1:21" x14ac:dyDescent="0.3">
      <c r="A52" s="56">
        <v>46197</v>
      </c>
      <c r="B52" s="54">
        <v>0.79166666666666663</v>
      </c>
      <c r="C52" s="59" t="s">
        <v>4</v>
      </c>
      <c r="D52" s="58">
        <v>2</v>
      </c>
      <c r="E52" s="58" t="s">
        <v>1</v>
      </c>
      <c r="F52" s="58">
        <v>0</v>
      </c>
      <c r="G52" s="59" t="s">
        <v>113</v>
      </c>
      <c r="K52" s="8" t="str">
        <f t="shared" si="7"/>
        <v>Marrocos</v>
      </c>
      <c r="L52" s="9">
        <f t="shared" si="8"/>
        <v>2</v>
      </c>
      <c r="M52" s="9">
        <f t="shared" si="9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</row>
    <row r="53" spans="1:21" x14ac:dyDescent="0.3">
      <c r="A53" s="56">
        <v>46197</v>
      </c>
      <c r="B53" s="54">
        <v>0.79166666666666663</v>
      </c>
      <c r="C53" s="59" t="s">
        <v>114</v>
      </c>
      <c r="D53" s="58">
        <v>1</v>
      </c>
      <c r="E53" s="58" t="s">
        <v>1</v>
      </c>
      <c r="F53" s="58">
        <v>3</v>
      </c>
      <c r="G53" s="59" t="s">
        <v>11</v>
      </c>
      <c r="K53" s="8" t="str">
        <f t="shared" si="7"/>
        <v>Brasil</v>
      </c>
      <c r="L53" s="9">
        <f t="shared" si="8"/>
        <v>3</v>
      </c>
      <c r="M53" s="9">
        <f t="shared" si="9"/>
        <v>1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6</v>
      </c>
      <c r="Q53" s="117"/>
      <c r="R53" s="48"/>
      <c r="S53" s="48"/>
      <c r="T53" s="48"/>
      <c r="U53" s="117"/>
    </row>
    <row r="54" spans="1:21" x14ac:dyDescent="0.3">
      <c r="A54" s="53">
        <v>46197</v>
      </c>
      <c r="B54" s="54">
        <v>0.91666666666666663</v>
      </c>
      <c r="C54" s="55" t="s">
        <v>88</v>
      </c>
      <c r="D54" s="46">
        <v>1</v>
      </c>
      <c r="E54" s="46" t="s">
        <v>1</v>
      </c>
      <c r="F54" s="46">
        <v>2</v>
      </c>
      <c r="G54" s="55" t="s">
        <v>15</v>
      </c>
      <c r="K54" s="8" t="str">
        <f t="shared" si="7"/>
        <v>Coréia do Sul</v>
      </c>
      <c r="L54" s="9">
        <f t="shared" si="8"/>
        <v>2</v>
      </c>
      <c r="M54" s="9">
        <f t="shared" si="9"/>
        <v>1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</row>
    <row r="55" spans="1:21" x14ac:dyDescent="0.3">
      <c r="A55" s="53">
        <v>46197</v>
      </c>
      <c r="B55" s="54">
        <v>0.91666666666666663</v>
      </c>
      <c r="C55" s="55" t="s">
        <v>111</v>
      </c>
      <c r="D55" s="46">
        <v>0</v>
      </c>
      <c r="E55" s="46" t="s">
        <v>1</v>
      </c>
      <c r="F55" s="46">
        <v>1</v>
      </c>
      <c r="G55" s="55" t="s">
        <v>13</v>
      </c>
      <c r="K55" s="8" t="str">
        <f t="shared" si="7"/>
        <v>México</v>
      </c>
      <c r="L55" s="9">
        <f t="shared" si="8"/>
        <v>1</v>
      </c>
      <c r="M55" s="9">
        <f t="shared" si="9"/>
        <v>0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4</v>
      </c>
      <c r="Q55" s="86"/>
      <c r="R55" s="48"/>
      <c r="S55" s="48"/>
      <c r="T55" s="48"/>
      <c r="U55" s="86"/>
    </row>
    <row r="56" spans="1:21" x14ac:dyDescent="0.3">
      <c r="A56" s="53">
        <v>46198</v>
      </c>
      <c r="B56" s="54">
        <v>0.70833333333333337</v>
      </c>
      <c r="C56" s="45" t="s">
        <v>102</v>
      </c>
      <c r="D56" s="46">
        <v>1</v>
      </c>
      <c r="E56" s="46" t="s">
        <v>1</v>
      </c>
      <c r="F56" s="46">
        <v>4</v>
      </c>
      <c r="G56" s="45" t="s">
        <v>12</v>
      </c>
      <c r="K56" s="8" t="str">
        <f t="shared" si="7"/>
        <v>Alemanha</v>
      </c>
      <c r="L56" s="9">
        <f t="shared" si="8"/>
        <v>4</v>
      </c>
      <c r="M56" s="9">
        <f t="shared" si="9"/>
        <v>1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</row>
    <row r="57" spans="1:21" x14ac:dyDescent="0.3">
      <c r="A57" s="53">
        <v>46198</v>
      </c>
      <c r="B57" s="54">
        <v>0.70833333333333337</v>
      </c>
      <c r="C57" s="45" t="s">
        <v>117</v>
      </c>
      <c r="D57" s="46">
        <v>0</v>
      </c>
      <c r="E57" s="46" t="s">
        <v>1</v>
      </c>
      <c r="F57" s="46">
        <v>1</v>
      </c>
      <c r="G57" s="45" t="s">
        <v>118</v>
      </c>
      <c r="K57" s="8" t="str">
        <f t="shared" si="7"/>
        <v>Costa do Marfim</v>
      </c>
      <c r="L57" s="9">
        <f t="shared" si="8"/>
        <v>1</v>
      </c>
      <c r="M57" s="9">
        <f t="shared" si="9"/>
        <v>0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4</v>
      </c>
      <c r="Q57" s="117"/>
      <c r="R57" s="48"/>
      <c r="S57" s="48"/>
      <c r="T57" s="48"/>
      <c r="U57" s="117"/>
    </row>
    <row r="58" spans="1:21" x14ac:dyDescent="0.3">
      <c r="A58" s="53">
        <v>46198</v>
      </c>
      <c r="B58" s="54">
        <v>0.83333333333333337</v>
      </c>
      <c r="C58" s="45" t="s">
        <v>17</v>
      </c>
      <c r="D58" s="46">
        <v>0</v>
      </c>
      <c r="E58" s="46" t="s">
        <v>1</v>
      </c>
      <c r="F58" s="46">
        <v>3</v>
      </c>
      <c r="G58" s="45" t="s">
        <v>78</v>
      </c>
      <c r="K58" s="8" t="str">
        <f t="shared" si="7"/>
        <v>Holanda</v>
      </c>
      <c r="L58" s="9">
        <f t="shared" si="8"/>
        <v>3</v>
      </c>
      <c r="M58" s="9">
        <f t="shared" si="9"/>
        <v>0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6</v>
      </c>
      <c r="Q58" s="117"/>
      <c r="R58" s="48"/>
      <c r="S58" s="48"/>
      <c r="T58" s="48"/>
      <c r="U58" s="117"/>
    </row>
    <row r="59" spans="1:21" x14ac:dyDescent="0.3">
      <c r="A59" s="53">
        <v>46198</v>
      </c>
      <c r="B59" s="54">
        <v>0.83333333333333337</v>
      </c>
      <c r="C59" s="45" t="s">
        <v>19</v>
      </c>
      <c r="D59" s="46">
        <v>2</v>
      </c>
      <c r="E59" s="46" t="s">
        <v>1</v>
      </c>
      <c r="F59" s="46">
        <v>1</v>
      </c>
      <c r="G59" s="45" t="s">
        <v>14</v>
      </c>
      <c r="K59" s="8" t="str">
        <f t="shared" si="7"/>
        <v>Japão</v>
      </c>
      <c r="L59" s="9">
        <f t="shared" si="8"/>
        <v>2</v>
      </c>
      <c r="M59" s="9">
        <f t="shared" si="9"/>
        <v>1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0</v>
      </c>
      <c r="Q59" s="117"/>
      <c r="R59" s="48"/>
      <c r="S59" s="48"/>
      <c r="T59" s="48"/>
      <c r="U59" s="117"/>
    </row>
    <row r="60" spans="1:21" x14ac:dyDescent="0.3">
      <c r="A60" s="53">
        <v>46198</v>
      </c>
      <c r="B60" s="54">
        <v>0.95833333333333337</v>
      </c>
      <c r="C60" s="45" t="s">
        <v>116</v>
      </c>
      <c r="D60" s="46">
        <v>0</v>
      </c>
      <c r="E60" s="46" t="s">
        <v>1</v>
      </c>
      <c r="F60" s="46">
        <v>1</v>
      </c>
      <c r="G60" s="45" t="s">
        <v>104</v>
      </c>
      <c r="K60" s="8" t="str">
        <f t="shared" si="7"/>
        <v>Estados Unidos</v>
      </c>
      <c r="L60" s="9">
        <f t="shared" si="8"/>
        <v>1</v>
      </c>
      <c r="M60" s="9">
        <f t="shared" si="9"/>
        <v>0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</row>
    <row r="61" spans="1:21" x14ac:dyDescent="0.3">
      <c r="A61" s="53">
        <v>46198</v>
      </c>
      <c r="B61" s="54">
        <v>0.95833333333333337</v>
      </c>
      <c r="C61" s="45" t="s">
        <v>115</v>
      </c>
      <c r="D61" s="46">
        <v>1</v>
      </c>
      <c r="E61" s="46" t="s">
        <v>1</v>
      </c>
      <c r="F61" s="46">
        <v>1</v>
      </c>
      <c r="G61" s="45" t="s">
        <v>8</v>
      </c>
      <c r="K61" s="8" t="str">
        <f t="shared" ref="K61:K66" si="10">IF(D61="","",IF(D61&gt;F61,C61,IF(F61&gt;D61,G61,"EMPATE")))</f>
        <v>EMPATE</v>
      </c>
      <c r="L61" s="9">
        <f t="shared" ref="L61:L66" si="11">IF(D61="","",IF(D61&gt;F61,D61,IF(F61&gt;D61,F61,D61)))</f>
        <v>1</v>
      </c>
      <c r="M61" s="9">
        <f t="shared" ref="M61:M66" si="12">IF(D61="","",IF(D61&lt;F61,D61,IF(F61&lt;D61,F61,D61)))</f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6</v>
      </c>
      <c r="Q61" s="117"/>
      <c r="R61" s="48"/>
      <c r="S61" s="48"/>
      <c r="T61" s="48"/>
      <c r="U61" s="117"/>
    </row>
    <row r="62" spans="1:21" x14ac:dyDescent="0.3">
      <c r="A62" s="53">
        <v>46199</v>
      </c>
      <c r="B62" s="54">
        <v>0.66666666666666663</v>
      </c>
      <c r="C62" s="45" t="s">
        <v>20</v>
      </c>
      <c r="D62" s="46">
        <v>2</v>
      </c>
      <c r="E62" s="46" t="s">
        <v>1</v>
      </c>
      <c r="F62" s="46">
        <v>1</v>
      </c>
      <c r="G62" s="45" t="s">
        <v>122</v>
      </c>
      <c r="K62" s="8" t="str">
        <f t="shared" si="10"/>
        <v>Senegal</v>
      </c>
      <c r="L62" s="9">
        <f t="shared" si="11"/>
        <v>2</v>
      </c>
      <c r="M62" s="9">
        <f t="shared" si="12"/>
        <v>1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3</v>
      </c>
      <c r="Q62" s="117"/>
      <c r="R62" s="48"/>
      <c r="S62" s="48"/>
      <c r="T62" s="48"/>
      <c r="U62" s="117"/>
    </row>
    <row r="63" spans="1:21" x14ac:dyDescent="0.3">
      <c r="A63" s="53">
        <v>46199</v>
      </c>
      <c r="B63" s="54">
        <v>0.66666666666666663</v>
      </c>
      <c r="C63" s="45" t="s">
        <v>123</v>
      </c>
      <c r="D63" s="46">
        <v>1</v>
      </c>
      <c r="E63" s="46" t="s">
        <v>1</v>
      </c>
      <c r="F63" s="46">
        <v>2</v>
      </c>
      <c r="G63" s="45" t="s">
        <v>7</v>
      </c>
      <c r="K63" s="8" t="str">
        <f t="shared" si="10"/>
        <v>França</v>
      </c>
      <c r="L63" s="9">
        <f t="shared" si="11"/>
        <v>2</v>
      </c>
      <c r="M63" s="9">
        <f t="shared" si="12"/>
        <v>1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4</v>
      </c>
      <c r="Q63" s="117"/>
      <c r="R63" s="48"/>
      <c r="S63" s="48"/>
      <c r="T63" s="48"/>
      <c r="U63" s="117"/>
    </row>
    <row r="64" spans="1:21" x14ac:dyDescent="0.3">
      <c r="A64" s="53">
        <v>46199</v>
      </c>
      <c r="B64" s="54">
        <v>0.875</v>
      </c>
      <c r="C64" s="45" t="s">
        <v>121</v>
      </c>
      <c r="D64" s="46">
        <v>1</v>
      </c>
      <c r="E64" s="46" t="s">
        <v>1</v>
      </c>
      <c r="F64" s="46">
        <v>1</v>
      </c>
      <c r="G64" s="45" t="s">
        <v>2</v>
      </c>
      <c r="K64" s="8" t="str">
        <f t="shared" si="10"/>
        <v>EMPATE</v>
      </c>
      <c r="L64" s="9">
        <f t="shared" si="11"/>
        <v>1</v>
      </c>
      <c r="M64" s="9">
        <f t="shared" si="12"/>
        <v>1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6</v>
      </c>
      <c r="Q64" s="117"/>
      <c r="R64" s="48"/>
      <c r="S64" s="48"/>
      <c r="T64" s="48"/>
      <c r="U64" s="117"/>
    </row>
    <row r="65" spans="1:28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2</v>
      </c>
      <c r="G65" s="45" t="s">
        <v>6</v>
      </c>
      <c r="K65" s="8" t="str">
        <f t="shared" si="10"/>
        <v>Espanha</v>
      </c>
      <c r="L65" s="9">
        <f t="shared" si="11"/>
        <v>2</v>
      </c>
      <c r="M65" s="9">
        <f t="shared" si="12"/>
        <v>1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3</v>
      </c>
      <c r="Q65" s="117"/>
      <c r="R65" s="48"/>
      <c r="S65" s="48"/>
      <c r="T65" s="48"/>
      <c r="U65" s="117"/>
    </row>
    <row r="66" spans="1:28" x14ac:dyDescent="0.3">
      <c r="A66" s="53">
        <v>46200</v>
      </c>
      <c r="B66" s="54">
        <v>0</v>
      </c>
      <c r="C66" s="45" t="s">
        <v>119</v>
      </c>
      <c r="D66" s="46">
        <v>1</v>
      </c>
      <c r="E66" s="46" t="s">
        <v>1</v>
      </c>
      <c r="F66" s="46">
        <v>1</v>
      </c>
      <c r="G66" s="45" t="s">
        <v>103</v>
      </c>
      <c r="K66" s="8" t="str">
        <f t="shared" si="10"/>
        <v>EMPATE</v>
      </c>
      <c r="L66" s="9">
        <f t="shared" si="11"/>
        <v>1</v>
      </c>
      <c r="M66" s="9">
        <f t="shared" si="12"/>
        <v>1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9</v>
      </c>
      <c r="Q66" s="117"/>
      <c r="R66" s="48"/>
      <c r="S66" s="48"/>
      <c r="T66" s="48"/>
      <c r="U66" s="117"/>
    </row>
    <row r="67" spans="1:28" x14ac:dyDescent="0.3">
      <c r="A67" s="53">
        <v>46200</v>
      </c>
      <c r="B67" s="54">
        <v>0</v>
      </c>
      <c r="C67" s="45" t="s">
        <v>120</v>
      </c>
      <c r="D67" s="46">
        <v>1</v>
      </c>
      <c r="E67" s="46" t="s">
        <v>1</v>
      </c>
      <c r="F67" s="46">
        <v>1</v>
      </c>
      <c r="G67" s="45" t="s">
        <v>16</v>
      </c>
      <c r="K67" s="8" t="str">
        <f t="shared" ref="K67:K105" si="13">IF(D67="","",IF(D67&gt;F67,C67,IF(F67&gt;D67,G67,"EMPATE")))</f>
        <v>EMPATE</v>
      </c>
      <c r="L67" s="9">
        <f t="shared" ref="L67:L105" si="14">IF(D67="","",IF(D67&gt;F67,D67,IF(F67&gt;D67,F67,D67)))</f>
        <v>1</v>
      </c>
      <c r="M67" s="9">
        <f t="shared" ref="M67:M105" si="15">IF(D67="","",IF(D67&lt;F67,D67,IF(F67&lt;D67,F67,D67)))</f>
        <v>1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0</v>
      </c>
      <c r="Q67" s="117"/>
      <c r="R67" s="48"/>
      <c r="S67" s="48"/>
      <c r="T67" s="48"/>
      <c r="U67" s="117"/>
    </row>
    <row r="68" spans="1:28" x14ac:dyDescent="0.3">
      <c r="A68" s="53">
        <v>46200</v>
      </c>
      <c r="B68" s="54">
        <v>0.75</v>
      </c>
      <c r="C68" s="45" t="s">
        <v>10</v>
      </c>
      <c r="D68" s="46">
        <v>2</v>
      </c>
      <c r="E68" s="46" t="s">
        <v>1</v>
      </c>
      <c r="F68" s="46">
        <v>0</v>
      </c>
      <c r="G68" s="45" t="s">
        <v>106</v>
      </c>
      <c r="K68" s="8" t="str">
        <f t="shared" si="13"/>
        <v>Croácia</v>
      </c>
      <c r="L68" s="9">
        <f t="shared" si="14"/>
        <v>2</v>
      </c>
      <c r="M68" s="9">
        <f t="shared" si="15"/>
        <v>0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6</v>
      </c>
      <c r="Q68" s="117"/>
      <c r="R68" s="48"/>
      <c r="S68" s="48"/>
      <c r="T68" s="48"/>
      <c r="U68" s="117"/>
    </row>
    <row r="69" spans="1:28" x14ac:dyDescent="0.3">
      <c r="A69" s="53">
        <v>46200</v>
      </c>
      <c r="B69" s="54">
        <v>0.75</v>
      </c>
      <c r="C69" s="45" t="s">
        <v>130</v>
      </c>
      <c r="D69" s="46">
        <v>0</v>
      </c>
      <c r="E69" s="46" t="s">
        <v>1</v>
      </c>
      <c r="F69" s="46">
        <v>3</v>
      </c>
      <c r="G69" s="45" t="s">
        <v>18</v>
      </c>
      <c r="K69" s="8" t="str">
        <f t="shared" si="13"/>
        <v>Inglaterra</v>
      </c>
      <c r="L69" s="9">
        <f t="shared" si="14"/>
        <v>3</v>
      </c>
      <c r="M69" s="9">
        <f t="shared" si="15"/>
        <v>0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4</v>
      </c>
      <c r="Q69" s="117"/>
      <c r="R69" s="48"/>
      <c r="S69" s="48"/>
      <c r="T69" s="48"/>
      <c r="U69" s="117"/>
    </row>
    <row r="70" spans="1:28" x14ac:dyDescent="0.3">
      <c r="A70" s="53">
        <v>46200</v>
      </c>
      <c r="B70" s="54">
        <v>0.85416666666666663</v>
      </c>
      <c r="C70" s="45" t="s">
        <v>127</v>
      </c>
      <c r="D70" s="46">
        <v>1</v>
      </c>
      <c r="E70" s="46" t="s">
        <v>1</v>
      </c>
      <c r="F70" s="46">
        <v>1</v>
      </c>
      <c r="G70" s="45" t="s">
        <v>128</v>
      </c>
      <c r="K70" s="8" t="str">
        <f t="shared" si="13"/>
        <v>EMPATE</v>
      </c>
      <c r="L70" s="9">
        <f t="shared" si="14"/>
        <v>1</v>
      </c>
      <c r="M70" s="9">
        <f t="shared" si="15"/>
        <v>1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0</v>
      </c>
      <c r="Q70" s="117"/>
      <c r="R70" s="48"/>
      <c r="S70" s="48"/>
      <c r="T70" s="48"/>
      <c r="U70" s="117"/>
    </row>
    <row r="71" spans="1:28" x14ac:dyDescent="0.3">
      <c r="A71" s="53">
        <v>46200</v>
      </c>
      <c r="B71" s="54">
        <v>0.85416666666666663</v>
      </c>
      <c r="C71" s="45" t="s">
        <v>129</v>
      </c>
      <c r="D71" s="46">
        <v>2</v>
      </c>
      <c r="E71" s="46" t="s">
        <v>1</v>
      </c>
      <c r="F71" s="46">
        <v>2</v>
      </c>
      <c r="G71" s="45" t="s">
        <v>5</v>
      </c>
      <c r="K71" s="8" t="str">
        <f t="shared" si="13"/>
        <v>EMPATE</v>
      </c>
      <c r="L71" s="9">
        <f t="shared" si="14"/>
        <v>2</v>
      </c>
      <c r="M71" s="9">
        <f t="shared" si="15"/>
        <v>2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6</v>
      </c>
      <c r="Q71" s="117"/>
      <c r="R71" s="48"/>
      <c r="S71" s="48"/>
      <c r="T71" s="48"/>
      <c r="U71" s="117"/>
    </row>
    <row r="72" spans="1:28" x14ac:dyDescent="0.3">
      <c r="A72" s="53">
        <v>46200</v>
      </c>
      <c r="B72" s="54">
        <v>0.95833333333333337</v>
      </c>
      <c r="C72" s="45" t="s">
        <v>126</v>
      </c>
      <c r="D72" s="46">
        <v>0</v>
      </c>
      <c r="E72" s="46" t="s">
        <v>1</v>
      </c>
      <c r="F72" s="46">
        <v>3</v>
      </c>
      <c r="G72" s="45" t="s">
        <v>9</v>
      </c>
      <c r="K72" s="8" t="str">
        <f t="shared" si="13"/>
        <v>Argentina</v>
      </c>
      <c r="L72" s="9">
        <f t="shared" si="14"/>
        <v>3</v>
      </c>
      <c r="M72" s="9">
        <f t="shared" si="15"/>
        <v>0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6</v>
      </c>
      <c r="Q72" s="117"/>
      <c r="R72" s="48"/>
      <c r="S72" s="48"/>
      <c r="T72" s="48"/>
      <c r="U72" s="117"/>
    </row>
    <row r="73" spans="1:28" x14ac:dyDescent="0.3">
      <c r="A73" s="53">
        <v>46200</v>
      </c>
      <c r="B73" s="54">
        <v>0.95833333333333337</v>
      </c>
      <c r="C73" s="45" t="s">
        <v>124</v>
      </c>
      <c r="D73" s="46">
        <v>1</v>
      </c>
      <c r="E73" s="46" t="s">
        <v>1</v>
      </c>
      <c r="F73" s="46">
        <v>2</v>
      </c>
      <c r="G73" s="45" t="s">
        <v>125</v>
      </c>
      <c r="K73" s="8" t="str">
        <f t="shared" si="13"/>
        <v>Áustria</v>
      </c>
      <c r="L73" s="9">
        <f t="shared" si="14"/>
        <v>2</v>
      </c>
      <c r="M73" s="9">
        <f t="shared" si="15"/>
        <v>1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0</v>
      </c>
      <c r="Q73" s="117"/>
      <c r="R73" s="48"/>
      <c r="S73" s="48"/>
      <c r="T73" s="48"/>
      <c r="U73" s="117"/>
    </row>
    <row r="74" spans="1:28" x14ac:dyDescent="0.3">
      <c r="A74" s="60">
        <v>46201</v>
      </c>
      <c r="B74" s="61">
        <v>0.66666666666666663</v>
      </c>
      <c r="C74" s="62" t="s">
        <v>88</v>
      </c>
      <c r="D74" s="63">
        <v>1</v>
      </c>
      <c r="E74" s="63" t="s">
        <v>1</v>
      </c>
      <c r="F74" s="63">
        <v>1</v>
      </c>
      <c r="G74" s="62" t="s">
        <v>105</v>
      </c>
      <c r="K74" s="8" t="str">
        <f t="shared" si="13"/>
        <v>EMPATE</v>
      </c>
      <c r="L74" s="9">
        <f t="shared" si="14"/>
        <v>1</v>
      </c>
      <c r="M74" s="9">
        <f t="shared" si="15"/>
        <v>1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60">
        <v>46201</v>
      </c>
      <c r="R74" s="61">
        <v>0.66666666666666663</v>
      </c>
      <c r="S74" s="62" t="s">
        <v>88</v>
      </c>
      <c r="T74" s="63">
        <v>1</v>
      </c>
      <c r="U74" s="63" t="s">
        <v>1</v>
      </c>
      <c r="V74" s="63">
        <v>1</v>
      </c>
      <c r="W74" s="62" t="s">
        <v>105</v>
      </c>
      <c r="X74" t="b">
        <f>S74=C74</f>
        <v>1</v>
      </c>
      <c r="AB74" t="b">
        <f>W74=G74</f>
        <v>1</v>
      </c>
    </row>
    <row r="75" spans="1:28" x14ac:dyDescent="0.3">
      <c r="A75" s="60">
        <v>46202</v>
      </c>
      <c r="B75" s="61">
        <v>0.58333333333333337</v>
      </c>
      <c r="C75" s="62" t="s">
        <v>11</v>
      </c>
      <c r="D75" s="63">
        <v>3</v>
      </c>
      <c r="E75" s="63" t="s">
        <v>1</v>
      </c>
      <c r="F75" s="63">
        <v>1</v>
      </c>
      <c r="G75" s="62" t="s">
        <v>19</v>
      </c>
      <c r="K75" s="8" t="str">
        <f t="shared" si="13"/>
        <v>Brasil</v>
      </c>
      <c r="L75" s="9">
        <f t="shared" si="14"/>
        <v>3</v>
      </c>
      <c r="M75" s="9">
        <f t="shared" si="15"/>
        <v>1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60">
        <v>46202</v>
      </c>
      <c r="R75" s="61">
        <v>0.58333333333333337</v>
      </c>
      <c r="S75" s="62" t="s">
        <v>11</v>
      </c>
      <c r="T75" s="63">
        <v>3</v>
      </c>
      <c r="U75" s="63" t="s">
        <v>1</v>
      </c>
      <c r="V75" s="63">
        <v>1</v>
      </c>
      <c r="W75" s="62" t="s">
        <v>19</v>
      </c>
      <c r="X75" t="b">
        <f t="shared" ref="X75:X89" si="16">S75=C75</f>
        <v>1</v>
      </c>
      <c r="AB75" t="b">
        <f t="shared" ref="AB75:AB89" si="17">W75=G75</f>
        <v>1</v>
      </c>
    </row>
    <row r="76" spans="1:28" x14ac:dyDescent="0.3">
      <c r="A76" s="60">
        <v>46202</v>
      </c>
      <c r="B76" s="61">
        <v>0.72916666666666663</v>
      </c>
      <c r="C76" s="62" t="s">
        <v>12</v>
      </c>
      <c r="D76" s="63">
        <v>2</v>
      </c>
      <c r="E76" s="63" t="s">
        <v>1</v>
      </c>
      <c r="F76" s="63">
        <v>1</v>
      </c>
      <c r="G76" s="62" t="s">
        <v>115</v>
      </c>
      <c r="K76" s="8" t="str">
        <f t="shared" si="13"/>
        <v>Alemanha</v>
      </c>
      <c r="L76" s="9">
        <f t="shared" si="14"/>
        <v>2</v>
      </c>
      <c r="M76" s="9">
        <f t="shared" si="15"/>
        <v>1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60">
        <v>46202</v>
      </c>
      <c r="R76" s="61">
        <v>0.72916666666666663</v>
      </c>
      <c r="S76" s="62" t="s">
        <v>12</v>
      </c>
      <c r="T76" s="63">
        <v>2</v>
      </c>
      <c r="U76" s="63" t="s">
        <v>1</v>
      </c>
      <c r="V76" s="63">
        <v>1</v>
      </c>
      <c r="W76" s="62" t="s">
        <v>115</v>
      </c>
      <c r="X76" t="b">
        <f t="shared" si="16"/>
        <v>1</v>
      </c>
      <c r="AB76" t="b">
        <f t="shared" si="17"/>
        <v>1</v>
      </c>
    </row>
    <row r="77" spans="1:28" x14ac:dyDescent="0.3">
      <c r="A77" s="60">
        <v>46202</v>
      </c>
      <c r="B77" s="61">
        <v>0.91666666666666663</v>
      </c>
      <c r="C77" s="62" t="s">
        <v>78</v>
      </c>
      <c r="D77" s="63">
        <v>2</v>
      </c>
      <c r="E77" s="63" t="s">
        <v>1</v>
      </c>
      <c r="F77" s="63">
        <v>1</v>
      </c>
      <c r="G77" s="62" t="s">
        <v>4</v>
      </c>
      <c r="K77" s="8" t="str">
        <f t="shared" si="13"/>
        <v>Holanda</v>
      </c>
      <c r="L77" s="9">
        <f t="shared" si="14"/>
        <v>2</v>
      </c>
      <c r="M77" s="9">
        <f t="shared" si="15"/>
        <v>1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60">
        <v>46202</v>
      </c>
      <c r="R77" s="61">
        <v>0.91666666666666663</v>
      </c>
      <c r="S77" s="62" t="s">
        <v>78</v>
      </c>
      <c r="T77" s="63">
        <v>2</v>
      </c>
      <c r="U77" s="63" t="s">
        <v>1</v>
      </c>
      <c r="V77" s="63">
        <v>1</v>
      </c>
      <c r="W77" s="62" t="s">
        <v>4</v>
      </c>
      <c r="X77" t="b">
        <f t="shared" si="16"/>
        <v>1</v>
      </c>
      <c r="AB77" t="b">
        <f t="shared" si="17"/>
        <v>1</v>
      </c>
    </row>
    <row r="78" spans="1:28" x14ac:dyDescent="0.3">
      <c r="A78" s="60">
        <v>46203</v>
      </c>
      <c r="B78" s="61">
        <v>0.58333333333333337</v>
      </c>
      <c r="C78" s="62" t="s">
        <v>118</v>
      </c>
      <c r="D78" s="63">
        <v>1</v>
      </c>
      <c r="E78" s="63" t="s">
        <v>1</v>
      </c>
      <c r="F78" s="63">
        <v>2</v>
      </c>
      <c r="G78" s="62" t="s">
        <v>123</v>
      </c>
      <c r="K78" s="8" t="str">
        <f t="shared" si="13"/>
        <v>Noruega</v>
      </c>
      <c r="L78" s="9">
        <f t="shared" si="14"/>
        <v>2</v>
      </c>
      <c r="M78" s="9">
        <f t="shared" si="15"/>
        <v>1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60">
        <v>46203</v>
      </c>
      <c r="R78" s="61">
        <v>0.58333333333333337</v>
      </c>
      <c r="S78" s="62" t="s">
        <v>118</v>
      </c>
      <c r="T78" s="63">
        <v>1</v>
      </c>
      <c r="U78" s="63" t="s">
        <v>1</v>
      </c>
      <c r="V78" s="63">
        <v>2</v>
      </c>
      <c r="W78" s="62" t="s">
        <v>123</v>
      </c>
      <c r="X78" t="b">
        <f t="shared" si="16"/>
        <v>1</v>
      </c>
      <c r="AB78" t="b">
        <f t="shared" si="17"/>
        <v>1</v>
      </c>
    </row>
    <row r="79" spans="1:28" x14ac:dyDescent="0.3">
      <c r="A79" s="60">
        <v>46203</v>
      </c>
      <c r="B79" s="61">
        <v>0.75</v>
      </c>
      <c r="C79" s="62" t="s">
        <v>7</v>
      </c>
      <c r="D79" s="63">
        <v>3</v>
      </c>
      <c r="E79" s="63" t="s">
        <v>1</v>
      </c>
      <c r="F79" s="63">
        <v>1</v>
      </c>
      <c r="G79" s="62" t="s">
        <v>14</v>
      </c>
      <c r="K79" s="8" t="str">
        <f t="shared" si="13"/>
        <v>França</v>
      </c>
      <c r="L79" s="9">
        <f t="shared" si="14"/>
        <v>3</v>
      </c>
      <c r="M79" s="9">
        <f t="shared" si="15"/>
        <v>1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60">
        <v>46203</v>
      </c>
      <c r="R79" s="61">
        <v>0.75</v>
      </c>
      <c r="S79" s="62" t="s">
        <v>7</v>
      </c>
      <c r="T79" s="63">
        <v>3</v>
      </c>
      <c r="U79" s="63" t="s">
        <v>1</v>
      </c>
      <c r="V79" s="63">
        <v>1</v>
      </c>
      <c r="W79" s="62" t="s">
        <v>14</v>
      </c>
      <c r="X79" t="b">
        <f t="shared" si="16"/>
        <v>1</v>
      </c>
      <c r="AB79" t="b">
        <f t="shared" si="17"/>
        <v>1</v>
      </c>
    </row>
    <row r="80" spans="1:28" x14ac:dyDescent="0.3">
      <c r="A80" s="60">
        <v>46203</v>
      </c>
      <c r="B80" s="61">
        <v>0.91666666666666663</v>
      </c>
      <c r="C80" s="62" t="s">
        <v>13</v>
      </c>
      <c r="D80" s="63">
        <v>1</v>
      </c>
      <c r="E80" s="63" t="s">
        <v>1</v>
      </c>
      <c r="F80" s="63">
        <v>0</v>
      </c>
      <c r="G80" s="62" t="s">
        <v>102</v>
      </c>
      <c r="K80" s="8" t="str">
        <f t="shared" si="13"/>
        <v>México</v>
      </c>
      <c r="L80" s="9">
        <f t="shared" si="14"/>
        <v>1</v>
      </c>
      <c r="M80" s="9">
        <f t="shared" si="15"/>
        <v>0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60">
        <v>46203</v>
      </c>
      <c r="R80" s="61">
        <v>0.91666666666666663</v>
      </c>
      <c r="S80" s="62" t="s">
        <v>13</v>
      </c>
      <c r="T80" s="63">
        <v>1</v>
      </c>
      <c r="U80" s="63" t="s">
        <v>1</v>
      </c>
      <c r="V80" s="63">
        <v>0</v>
      </c>
      <c r="W80" s="62" t="s">
        <v>102</v>
      </c>
      <c r="X80" t="b">
        <f t="shared" si="16"/>
        <v>1</v>
      </c>
      <c r="AB80" t="b">
        <f t="shared" si="17"/>
        <v>1</v>
      </c>
    </row>
    <row r="81" spans="1:28" x14ac:dyDescent="0.3">
      <c r="A81" s="60">
        <v>46204</v>
      </c>
      <c r="B81" s="61">
        <v>0.54166666666666663</v>
      </c>
      <c r="C81" s="62" t="s">
        <v>18</v>
      </c>
      <c r="D81" s="63">
        <v>2</v>
      </c>
      <c r="E81" s="63" t="s">
        <v>1</v>
      </c>
      <c r="F81" s="63">
        <v>0</v>
      </c>
      <c r="G81" s="62" t="s">
        <v>127</v>
      </c>
      <c r="K81" s="8" t="str">
        <f t="shared" si="13"/>
        <v>Inglaterra</v>
      </c>
      <c r="L81" s="9">
        <f t="shared" si="14"/>
        <v>2</v>
      </c>
      <c r="M81" s="9">
        <f t="shared" si="15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60">
        <v>46204</v>
      </c>
      <c r="R81" s="61">
        <v>0.54166666666666663</v>
      </c>
      <c r="S81" s="62" t="s">
        <v>18</v>
      </c>
      <c r="T81" s="63">
        <v>2</v>
      </c>
      <c r="U81" s="63" t="s">
        <v>1</v>
      </c>
      <c r="V81" s="63">
        <v>0</v>
      </c>
      <c r="W81" s="62" t="s">
        <v>127</v>
      </c>
      <c r="X81" t="b">
        <f t="shared" si="16"/>
        <v>1</v>
      </c>
      <c r="AB81" t="b">
        <f t="shared" si="17"/>
        <v>1</v>
      </c>
    </row>
    <row r="82" spans="1:28" x14ac:dyDescent="0.3">
      <c r="A82" s="60">
        <v>46204</v>
      </c>
      <c r="B82" s="61">
        <v>0.70833333333333337</v>
      </c>
      <c r="C82" s="62" t="s">
        <v>16</v>
      </c>
      <c r="D82" s="63">
        <v>1</v>
      </c>
      <c r="E82" s="63" t="s">
        <v>1</v>
      </c>
      <c r="F82" s="63">
        <v>1</v>
      </c>
      <c r="G82" s="62" t="s">
        <v>20</v>
      </c>
      <c r="K82" s="8" t="str">
        <f t="shared" si="13"/>
        <v>EMPATE</v>
      </c>
      <c r="L82" s="9">
        <f t="shared" si="14"/>
        <v>1</v>
      </c>
      <c r="M82" s="9">
        <f t="shared" si="15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60">
        <v>46204</v>
      </c>
      <c r="R82" s="61">
        <v>0.70833333333333337</v>
      </c>
      <c r="S82" s="62" t="s">
        <v>16</v>
      </c>
      <c r="T82" s="63">
        <v>1</v>
      </c>
      <c r="U82" s="63" t="s">
        <v>1</v>
      </c>
      <c r="V82" s="63">
        <v>1</v>
      </c>
      <c r="W82" s="62" t="s">
        <v>20</v>
      </c>
      <c r="X82" t="b">
        <f t="shared" si="16"/>
        <v>1</v>
      </c>
      <c r="AB82" t="b">
        <f t="shared" si="17"/>
        <v>1</v>
      </c>
    </row>
    <row r="83" spans="1:28" x14ac:dyDescent="0.3">
      <c r="A83" s="60">
        <v>46204</v>
      </c>
      <c r="B83" s="61">
        <v>0.875</v>
      </c>
      <c r="C83" s="62" t="s">
        <v>104</v>
      </c>
      <c r="D83" s="63">
        <v>1</v>
      </c>
      <c r="E83" s="63" t="s">
        <v>1</v>
      </c>
      <c r="F83" s="63">
        <v>0</v>
      </c>
      <c r="G83" s="62" t="s">
        <v>112</v>
      </c>
      <c r="K83" s="8" t="str">
        <f t="shared" si="13"/>
        <v>Estados Unidos</v>
      </c>
      <c r="L83" s="9">
        <f t="shared" si="14"/>
        <v>1</v>
      </c>
      <c r="M83" s="9">
        <f t="shared" si="15"/>
        <v>0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60">
        <v>46204</v>
      </c>
      <c r="R83" s="61">
        <v>0.875</v>
      </c>
      <c r="S83" s="62" t="s">
        <v>104</v>
      </c>
      <c r="T83" s="63">
        <v>1</v>
      </c>
      <c r="U83" s="63" t="s">
        <v>1</v>
      </c>
      <c r="V83" s="63">
        <v>0</v>
      </c>
      <c r="W83" s="62" t="s">
        <v>112</v>
      </c>
      <c r="X83" t="b">
        <f t="shared" si="16"/>
        <v>1</v>
      </c>
      <c r="AB83" t="b">
        <f t="shared" si="17"/>
        <v>1</v>
      </c>
    </row>
    <row r="84" spans="1:28" x14ac:dyDescent="0.3">
      <c r="A84" s="60">
        <v>46205</v>
      </c>
      <c r="B84" s="61">
        <v>0.66666666666666663</v>
      </c>
      <c r="C84" s="62" t="s">
        <v>6</v>
      </c>
      <c r="D84" s="63">
        <v>2</v>
      </c>
      <c r="E84" s="63" t="s">
        <v>1</v>
      </c>
      <c r="F84" s="63">
        <v>0</v>
      </c>
      <c r="G84" s="62" t="s">
        <v>125</v>
      </c>
      <c r="K84" s="8" t="str">
        <f t="shared" si="13"/>
        <v>Espanha</v>
      </c>
      <c r="L84" s="9">
        <f t="shared" si="14"/>
        <v>2</v>
      </c>
      <c r="M84" s="9">
        <f t="shared" si="15"/>
        <v>0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60">
        <v>46205</v>
      </c>
      <c r="R84" s="61">
        <v>0.66666666666666663</v>
      </c>
      <c r="S84" s="62" t="s">
        <v>6</v>
      </c>
      <c r="T84" s="63">
        <v>2</v>
      </c>
      <c r="U84" s="63" t="s">
        <v>1</v>
      </c>
      <c r="V84" s="63">
        <v>0</v>
      </c>
      <c r="W84" s="62" t="s">
        <v>125</v>
      </c>
      <c r="X84" t="b">
        <f t="shared" si="16"/>
        <v>1</v>
      </c>
      <c r="AB84" t="b">
        <f t="shared" si="17"/>
        <v>1</v>
      </c>
    </row>
    <row r="85" spans="1:28" x14ac:dyDescent="0.3">
      <c r="A85" s="60">
        <v>46205</v>
      </c>
      <c r="B85" s="61">
        <v>0.83333333333333337</v>
      </c>
      <c r="C85" s="62" t="s">
        <v>5</v>
      </c>
      <c r="D85" s="63">
        <v>1</v>
      </c>
      <c r="E85" s="63" t="s">
        <v>1</v>
      </c>
      <c r="F85" s="63">
        <v>1</v>
      </c>
      <c r="G85" s="62" t="s">
        <v>10</v>
      </c>
      <c r="K85" s="8" t="str">
        <f t="shared" si="13"/>
        <v>EMPATE</v>
      </c>
      <c r="L85" s="9">
        <f t="shared" si="14"/>
        <v>1</v>
      </c>
      <c r="M85" s="9">
        <f t="shared" si="15"/>
        <v>1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60">
        <v>46205</v>
      </c>
      <c r="R85" s="61">
        <v>0.83333333333333337</v>
      </c>
      <c r="S85" s="62" t="s">
        <v>5</v>
      </c>
      <c r="T85" s="63">
        <v>1</v>
      </c>
      <c r="U85" s="63" t="s">
        <v>1</v>
      </c>
      <c r="V85" s="63">
        <v>1</v>
      </c>
      <c r="W85" s="62" t="s">
        <v>10</v>
      </c>
      <c r="X85" t="b">
        <f t="shared" si="16"/>
        <v>1</v>
      </c>
      <c r="AB85" t="b">
        <f t="shared" si="17"/>
        <v>1</v>
      </c>
    </row>
    <row r="86" spans="1:28" x14ac:dyDescent="0.3">
      <c r="A86" s="60">
        <v>46206</v>
      </c>
      <c r="B86" s="61">
        <v>0</v>
      </c>
      <c r="C86" s="62" t="s">
        <v>72</v>
      </c>
      <c r="D86" s="63">
        <v>2</v>
      </c>
      <c r="E86" s="63" t="s">
        <v>1</v>
      </c>
      <c r="F86" s="63">
        <v>1</v>
      </c>
      <c r="G86" s="62" t="s">
        <v>124</v>
      </c>
      <c r="K86" s="8" t="str">
        <f t="shared" si="13"/>
        <v>Suíça</v>
      </c>
      <c r="L86" s="9">
        <f t="shared" si="14"/>
        <v>2</v>
      </c>
      <c r="M86" s="9">
        <f t="shared" si="15"/>
        <v>1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60">
        <v>46206</v>
      </c>
      <c r="R86" s="61">
        <v>0</v>
      </c>
      <c r="S86" s="62" t="s">
        <v>72</v>
      </c>
      <c r="T86" s="63">
        <v>2</v>
      </c>
      <c r="U86" s="63" t="s">
        <v>1</v>
      </c>
      <c r="V86" s="63">
        <v>1</v>
      </c>
      <c r="W86" s="62" t="s">
        <v>124</v>
      </c>
      <c r="X86" t="b">
        <f t="shared" si="16"/>
        <v>1</v>
      </c>
      <c r="AB86" t="b">
        <f t="shared" si="17"/>
        <v>1</v>
      </c>
    </row>
    <row r="87" spans="1:28" x14ac:dyDescent="0.3">
      <c r="A87" s="60">
        <v>46206</v>
      </c>
      <c r="B87" s="61">
        <v>0.625</v>
      </c>
      <c r="C87" s="62" t="s">
        <v>8</v>
      </c>
      <c r="D87" s="63">
        <v>1</v>
      </c>
      <c r="E87" s="63" t="s">
        <v>1</v>
      </c>
      <c r="F87" s="63">
        <v>1</v>
      </c>
      <c r="G87" s="62" t="s">
        <v>119</v>
      </c>
      <c r="K87" s="8" t="str">
        <f t="shared" si="13"/>
        <v>EMPATE</v>
      </c>
      <c r="L87" s="9">
        <f t="shared" si="14"/>
        <v>1</v>
      </c>
      <c r="M87" s="9">
        <f t="shared" si="15"/>
        <v>1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60">
        <v>46206</v>
      </c>
      <c r="R87" s="61">
        <v>0.625</v>
      </c>
      <c r="S87" s="62" t="s">
        <v>8</v>
      </c>
      <c r="T87" s="63">
        <v>1</v>
      </c>
      <c r="U87" s="63" t="s">
        <v>1</v>
      </c>
      <c r="V87" s="63">
        <v>1</v>
      </c>
      <c r="W87" s="62" t="s">
        <v>119</v>
      </c>
      <c r="X87" t="b">
        <f t="shared" si="16"/>
        <v>1</v>
      </c>
      <c r="AB87" t="b">
        <f t="shared" si="17"/>
        <v>1</v>
      </c>
    </row>
    <row r="88" spans="1:28" x14ac:dyDescent="0.3">
      <c r="A88" s="60">
        <v>46206</v>
      </c>
      <c r="B88" s="61">
        <v>0.79166666666666663</v>
      </c>
      <c r="C88" s="62" t="s">
        <v>9</v>
      </c>
      <c r="D88" s="63">
        <v>2</v>
      </c>
      <c r="E88" s="63" t="s">
        <v>1</v>
      </c>
      <c r="F88" s="63">
        <v>0</v>
      </c>
      <c r="G88" s="62" t="s">
        <v>121</v>
      </c>
      <c r="K88" s="8" t="str">
        <f t="shared" si="13"/>
        <v>Argentina</v>
      </c>
      <c r="L88" s="9">
        <f t="shared" si="14"/>
        <v>2</v>
      </c>
      <c r="M88" s="9">
        <f t="shared" si="15"/>
        <v>0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60">
        <v>46206</v>
      </c>
      <c r="R88" s="61">
        <v>0.79166666666666663</v>
      </c>
      <c r="S88" s="62" t="s">
        <v>9</v>
      </c>
      <c r="T88" s="63">
        <v>2</v>
      </c>
      <c r="U88" s="63" t="s">
        <v>1</v>
      </c>
      <c r="V88" s="63">
        <v>0</v>
      </c>
      <c r="W88" s="62" t="s">
        <v>121</v>
      </c>
      <c r="X88" t="b">
        <f t="shared" si="16"/>
        <v>1</v>
      </c>
      <c r="AB88" t="b">
        <f t="shared" si="17"/>
        <v>1</v>
      </c>
    </row>
    <row r="89" spans="1:28" x14ac:dyDescent="0.3">
      <c r="A89" s="60">
        <v>46206</v>
      </c>
      <c r="B89" s="61">
        <v>0.9375</v>
      </c>
      <c r="C89" s="62" t="s">
        <v>129</v>
      </c>
      <c r="D89" s="63">
        <v>1</v>
      </c>
      <c r="E89" s="63" t="s">
        <v>1</v>
      </c>
      <c r="F89" s="63">
        <v>1</v>
      </c>
      <c r="G89" s="62" t="s">
        <v>106</v>
      </c>
      <c r="K89" s="8" t="str">
        <f t="shared" si="13"/>
        <v>EMPATE</v>
      </c>
      <c r="L89" s="9">
        <f t="shared" si="14"/>
        <v>1</v>
      </c>
      <c r="M89" s="9">
        <f t="shared" si="15"/>
        <v>1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60">
        <v>46206</v>
      </c>
      <c r="R89" s="61">
        <v>0.9375</v>
      </c>
      <c r="S89" s="62" t="s">
        <v>129</v>
      </c>
      <c r="T89" s="63">
        <v>1</v>
      </c>
      <c r="U89" s="63" t="s">
        <v>1</v>
      </c>
      <c r="V89" s="63">
        <v>1</v>
      </c>
      <c r="W89" s="62" t="s">
        <v>106</v>
      </c>
      <c r="X89" t="b">
        <f t="shared" si="16"/>
        <v>1</v>
      </c>
      <c r="AB89" t="b">
        <f t="shared" si="17"/>
        <v>1</v>
      </c>
    </row>
    <row r="90" spans="1:28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13"/>
        <v/>
      </c>
      <c r="L90" s="9" t="str">
        <f t="shared" si="14"/>
        <v/>
      </c>
      <c r="M90" s="9" t="str">
        <f t="shared" si="15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8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13"/>
        <v/>
      </c>
      <c r="L91" s="9" t="str">
        <f t="shared" si="14"/>
        <v/>
      </c>
      <c r="M91" s="9" t="str">
        <f t="shared" si="15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8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13"/>
        <v/>
      </c>
      <c r="L92" s="9" t="str">
        <f t="shared" si="14"/>
        <v/>
      </c>
      <c r="M92" s="9" t="str">
        <f t="shared" si="15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8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13"/>
        <v/>
      </c>
      <c r="L93" s="9" t="str">
        <f t="shared" si="14"/>
        <v/>
      </c>
      <c r="M93" s="9" t="str">
        <f t="shared" si="15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8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13"/>
        <v/>
      </c>
      <c r="L94" s="9" t="str">
        <f t="shared" si="14"/>
        <v/>
      </c>
      <c r="M94" s="9" t="str">
        <f t="shared" si="15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8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13"/>
        <v/>
      </c>
      <c r="L95" s="9" t="str">
        <f t="shared" si="14"/>
        <v/>
      </c>
      <c r="M95" s="9" t="str">
        <f t="shared" si="15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8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13"/>
        <v/>
      </c>
      <c r="L96" s="9" t="str">
        <f t="shared" si="14"/>
        <v/>
      </c>
      <c r="M96" s="9" t="str">
        <f t="shared" si="15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13"/>
        <v/>
      </c>
      <c r="L97" s="9" t="str">
        <f t="shared" si="14"/>
        <v/>
      </c>
      <c r="M97" s="9" t="str">
        <f t="shared" si="15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13"/>
        <v/>
      </c>
      <c r="L98" s="9" t="str">
        <f t="shared" si="14"/>
        <v/>
      </c>
      <c r="M98" s="9" t="str">
        <f t="shared" si="15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13"/>
        <v/>
      </c>
      <c r="L99" s="9" t="str">
        <f t="shared" si="14"/>
        <v/>
      </c>
      <c r="M99" s="9" t="str">
        <f t="shared" si="15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13"/>
        <v/>
      </c>
      <c r="L100" s="9" t="str">
        <f t="shared" si="14"/>
        <v/>
      </c>
      <c r="M100" s="9" t="str">
        <f t="shared" si="15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13"/>
        <v/>
      </c>
      <c r="L101" s="9" t="str">
        <f t="shared" si="14"/>
        <v/>
      </c>
      <c r="M101" s="9" t="str">
        <f t="shared" si="15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13"/>
        <v/>
      </c>
      <c r="L102" s="9" t="str">
        <f t="shared" si="14"/>
        <v/>
      </c>
      <c r="M102" s="9" t="str">
        <f t="shared" si="15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13"/>
        <v/>
      </c>
      <c r="L103" s="9" t="str">
        <f t="shared" si="14"/>
        <v/>
      </c>
      <c r="M103" s="9" t="str">
        <f t="shared" si="15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13"/>
        <v/>
      </c>
      <c r="L104" s="9" t="str">
        <f t="shared" si="14"/>
        <v/>
      </c>
      <c r="M104" s="9" t="str">
        <f t="shared" si="15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13"/>
        <v/>
      </c>
      <c r="L105" s="9" t="str">
        <f t="shared" si="14"/>
        <v/>
      </c>
      <c r="M105" s="9" t="str">
        <f t="shared" si="15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  <col min="16" max="21" width="8.88671875" style="89"/>
    <col min="22" max="22" width="12.21875" style="89" bestFit="1" customWidth="1"/>
    <col min="23" max="29" width="8.88671875" style="89"/>
  </cols>
  <sheetData>
    <row r="1" spans="1:26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98</v>
      </c>
      <c r="I1" s="135"/>
      <c r="J1" s="142"/>
      <c r="K1" s="3" t="s">
        <v>32</v>
      </c>
      <c r="L1" s="3" t="s">
        <v>30</v>
      </c>
      <c r="M1" s="3" t="s">
        <v>31</v>
      </c>
      <c r="O1" s="87" t="s">
        <v>33</v>
      </c>
    </row>
    <row r="2" spans="1:26" ht="15.75" customHeight="1" x14ac:dyDescent="0.3">
      <c r="A2" s="53">
        <v>46184</v>
      </c>
      <c r="B2" s="54">
        <v>0.66666666666666663</v>
      </c>
      <c r="C2" s="55" t="s">
        <v>13</v>
      </c>
      <c r="D2" s="46">
        <v>2</v>
      </c>
      <c r="E2" s="46" t="s">
        <v>1</v>
      </c>
      <c r="F2" s="46">
        <v>0</v>
      </c>
      <c r="G2" s="55" t="s">
        <v>88</v>
      </c>
      <c r="H2" s="141"/>
      <c r="I2" s="135"/>
      <c r="J2" s="142"/>
      <c r="K2" s="8" t="str">
        <f t="shared" ref="K2:K3" si="0">IF(D2="","",IF(D2&gt;F2,C2,IF(F2&gt;D2,G2,"EMPATE")))</f>
        <v>México</v>
      </c>
      <c r="L2" s="9">
        <f>IF(D2="","",IF(D2&gt;F2,D2,IF(F2&gt;D2,F2,D2)))</f>
        <v>2</v>
      </c>
      <c r="M2" s="9">
        <f t="shared" ref="M2:M3" si="1">IF(D2="","",IF(D2&lt;F2,D2,IF(F2&lt;D2,F2,D2)))</f>
        <v>0</v>
      </c>
      <c r="O2" s="88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Q2" s="90"/>
      <c r="R2" s="91"/>
      <c r="S2" s="91"/>
      <c r="T2" s="91"/>
      <c r="U2" s="90"/>
      <c r="V2" s="92"/>
      <c r="W2" s="93"/>
      <c r="Z2" s="92"/>
    </row>
    <row r="3" spans="1:26" ht="15.75" customHeight="1" x14ac:dyDescent="0.3">
      <c r="A3" s="53">
        <v>46184</v>
      </c>
      <c r="B3" s="54">
        <v>0.95833333333333337</v>
      </c>
      <c r="C3" s="55" t="s">
        <v>15</v>
      </c>
      <c r="D3" s="46">
        <v>1</v>
      </c>
      <c r="E3" s="46" t="s">
        <v>1</v>
      </c>
      <c r="F3" s="46">
        <v>1</v>
      </c>
      <c r="G3" s="55" t="s">
        <v>111</v>
      </c>
      <c r="H3" s="141"/>
      <c r="I3" s="135"/>
      <c r="J3" s="142"/>
      <c r="K3" s="8" t="str">
        <f t="shared" si="0"/>
        <v>EMPATE</v>
      </c>
      <c r="L3" s="9">
        <f t="shared" ref="L3:L4" si="2">IF(D3="","",IF(D3&gt;F3,D3,IF(F3&gt;D3,F3,D3)))</f>
        <v>1</v>
      </c>
      <c r="M3" s="9">
        <f t="shared" si="1"/>
        <v>1</v>
      </c>
      <c r="O3" s="88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Q3" s="90"/>
      <c r="R3" s="91"/>
      <c r="S3" s="91"/>
      <c r="T3" s="91"/>
      <c r="U3" s="90"/>
      <c r="V3" s="92"/>
      <c r="W3" s="93"/>
      <c r="Z3" s="92"/>
    </row>
    <row r="4" spans="1:26" ht="15.75" customHeight="1" x14ac:dyDescent="0.3">
      <c r="A4" s="53">
        <v>46185</v>
      </c>
      <c r="B4" s="54">
        <v>0.66666666666666663</v>
      </c>
      <c r="C4" s="55" t="s">
        <v>105</v>
      </c>
      <c r="D4" s="46">
        <v>0</v>
      </c>
      <c r="E4" s="46" t="s">
        <v>1</v>
      </c>
      <c r="F4" s="46">
        <v>2</v>
      </c>
      <c r="G4" s="55" t="s">
        <v>112</v>
      </c>
      <c r="K4" s="8" t="str">
        <f t="shared" ref="K4:K67" si="3">IF(D4="","",IF(D4&gt;F4,C4,IF(F4&gt;D4,G4,"EMPATE")))</f>
        <v>Bósnia</v>
      </c>
      <c r="L4" s="9">
        <f t="shared" si="2"/>
        <v>2</v>
      </c>
      <c r="M4" s="9">
        <f t="shared" ref="M4:M67" si="4">IF(D4="","",IF(D4&lt;F4,D4,IF(F4&lt;D4,F4,D4)))</f>
        <v>0</v>
      </c>
      <c r="O4" s="88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90"/>
      <c r="R4" s="91"/>
      <c r="S4" s="91"/>
      <c r="T4" s="91"/>
      <c r="U4" s="90"/>
      <c r="V4" s="92"/>
      <c r="W4" s="93"/>
      <c r="Z4" s="92"/>
    </row>
    <row r="5" spans="1:26" ht="15.75" customHeight="1" x14ac:dyDescent="0.3">
      <c r="A5" s="53">
        <v>46185</v>
      </c>
      <c r="B5" s="54">
        <v>0.91666666666666663</v>
      </c>
      <c r="C5" s="55" t="s">
        <v>104</v>
      </c>
      <c r="D5" s="46">
        <v>2</v>
      </c>
      <c r="E5" s="46" t="s">
        <v>1</v>
      </c>
      <c r="F5" s="46">
        <v>0</v>
      </c>
      <c r="G5" s="55" t="s">
        <v>115</v>
      </c>
      <c r="I5" s="18"/>
      <c r="K5" s="8" t="str">
        <f t="shared" si="3"/>
        <v>Estados Unidos</v>
      </c>
      <c r="L5" s="9">
        <f t="shared" ref="L5:L68" si="5">IF(D5="","",IF(D5&gt;F5,D5,IF(F5&gt;D5,F5,D5)))</f>
        <v>2</v>
      </c>
      <c r="M5" s="9">
        <f t="shared" si="4"/>
        <v>0</v>
      </c>
      <c r="O5" s="88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3</v>
      </c>
      <c r="Q5" s="90"/>
      <c r="R5" s="91"/>
      <c r="S5" s="91"/>
      <c r="T5" s="91"/>
      <c r="U5" s="90"/>
      <c r="V5" s="92"/>
      <c r="W5" s="93"/>
      <c r="Z5" s="92"/>
    </row>
    <row r="6" spans="1:26" ht="15.75" customHeight="1" x14ac:dyDescent="0.3">
      <c r="A6" s="53">
        <v>46186</v>
      </c>
      <c r="B6" s="54">
        <v>0.66666666666666663</v>
      </c>
      <c r="C6" s="55" t="s">
        <v>97</v>
      </c>
      <c r="D6" s="46">
        <v>2</v>
      </c>
      <c r="E6" s="46" t="s">
        <v>1</v>
      </c>
      <c r="F6" s="46">
        <v>0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3"/>
        <v>Catar</v>
      </c>
      <c r="L6" s="9">
        <f t="shared" si="5"/>
        <v>2</v>
      </c>
      <c r="M6" s="9">
        <f t="shared" si="4"/>
        <v>0</v>
      </c>
      <c r="O6" s="88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90"/>
      <c r="R6" s="91"/>
      <c r="S6" s="91"/>
      <c r="T6" s="91"/>
      <c r="U6" s="90"/>
      <c r="V6" s="92"/>
      <c r="W6" s="93"/>
      <c r="Z6" s="92"/>
    </row>
    <row r="7" spans="1:26" ht="15.75" customHeight="1" x14ac:dyDescent="0.3">
      <c r="A7" s="53">
        <v>46186</v>
      </c>
      <c r="B7" s="54">
        <v>0.79166666666666663</v>
      </c>
      <c r="C7" s="55" t="s">
        <v>11</v>
      </c>
      <c r="D7" s="46">
        <v>2</v>
      </c>
      <c r="E7" s="46" t="s">
        <v>1</v>
      </c>
      <c r="F7" s="46">
        <v>0</v>
      </c>
      <c r="G7" s="55" t="s">
        <v>4</v>
      </c>
      <c r="H7" s="15">
        <v>9</v>
      </c>
      <c r="I7" s="15">
        <f>COUNTIF($O$2:$O$105,9)</f>
        <v>5</v>
      </c>
      <c r="J7" s="15">
        <f>H7*I7</f>
        <v>45</v>
      </c>
      <c r="K7" s="8" t="str">
        <f t="shared" si="3"/>
        <v>Brasil</v>
      </c>
      <c r="L7" s="9">
        <f t="shared" si="5"/>
        <v>2</v>
      </c>
      <c r="M7" s="9">
        <f t="shared" si="4"/>
        <v>0</v>
      </c>
      <c r="O7" s="88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90"/>
      <c r="R7" s="91"/>
      <c r="S7" s="91"/>
      <c r="T7" s="91"/>
      <c r="U7" s="90"/>
      <c r="V7" s="92"/>
      <c r="W7" s="93"/>
      <c r="Z7" s="92"/>
    </row>
    <row r="8" spans="1:26" ht="15.75" customHeight="1" x14ac:dyDescent="0.3">
      <c r="A8" s="53">
        <v>46186</v>
      </c>
      <c r="B8" s="54">
        <v>0.91666666666666663</v>
      </c>
      <c r="C8" s="55" t="s">
        <v>113</v>
      </c>
      <c r="D8" s="46">
        <v>1</v>
      </c>
      <c r="E8" s="46" t="s">
        <v>1</v>
      </c>
      <c r="F8" s="46">
        <v>1</v>
      </c>
      <c r="G8" s="55" t="s">
        <v>114</v>
      </c>
      <c r="H8" s="15">
        <v>6</v>
      </c>
      <c r="I8" s="15">
        <f>COUNTIF($O$2:$O$105,6)</f>
        <v>8</v>
      </c>
      <c r="J8" s="15">
        <f t="shared" ref="J8:J11" si="6">H8*I8</f>
        <v>48</v>
      </c>
      <c r="K8" s="8" t="str">
        <f t="shared" si="3"/>
        <v>EMPATE</v>
      </c>
      <c r="L8" s="9">
        <f t="shared" si="5"/>
        <v>1</v>
      </c>
      <c r="M8" s="9">
        <f t="shared" si="4"/>
        <v>1</v>
      </c>
      <c r="O8" s="88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  <c r="Q8" s="90"/>
      <c r="R8" s="91"/>
      <c r="S8" s="91"/>
      <c r="T8" s="91"/>
      <c r="U8" s="90"/>
      <c r="V8" s="92"/>
      <c r="W8" s="93"/>
      <c r="Z8" s="92"/>
    </row>
    <row r="9" spans="1:26" ht="15.75" customHeight="1" x14ac:dyDescent="0.3">
      <c r="A9" s="53">
        <v>46187</v>
      </c>
      <c r="B9" s="54">
        <v>4.1666666666666664E-2</v>
      </c>
      <c r="C9" s="55" t="s">
        <v>8</v>
      </c>
      <c r="D9" s="46">
        <v>2</v>
      </c>
      <c r="E9" s="46" t="s">
        <v>1</v>
      </c>
      <c r="F9" s="46">
        <v>1</v>
      </c>
      <c r="G9" s="55" t="s">
        <v>116</v>
      </c>
      <c r="H9" s="15">
        <v>4</v>
      </c>
      <c r="I9" s="15">
        <f>COUNTIF($O$2:$O$105,4)</f>
        <v>7</v>
      </c>
      <c r="J9" s="15">
        <f t="shared" si="6"/>
        <v>28</v>
      </c>
      <c r="K9" s="8" t="str">
        <f t="shared" si="3"/>
        <v>Austrália</v>
      </c>
      <c r="L9" s="9">
        <f t="shared" si="5"/>
        <v>2</v>
      </c>
      <c r="M9" s="9">
        <f t="shared" si="4"/>
        <v>1</v>
      </c>
      <c r="O9" s="88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6</v>
      </c>
      <c r="Q9" s="90"/>
      <c r="R9" s="91"/>
      <c r="S9" s="91"/>
      <c r="T9" s="91"/>
      <c r="U9" s="90"/>
      <c r="V9" s="92"/>
      <c r="W9" s="93"/>
      <c r="Z9" s="92"/>
    </row>
    <row r="10" spans="1:26" ht="15.6" x14ac:dyDescent="0.3">
      <c r="A10" s="53">
        <v>46187</v>
      </c>
      <c r="B10" s="54">
        <v>0.58333333333333337</v>
      </c>
      <c r="C10" s="55" t="s">
        <v>12</v>
      </c>
      <c r="D10" s="46">
        <v>4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15</v>
      </c>
      <c r="J10" s="15">
        <f t="shared" si="6"/>
        <v>45</v>
      </c>
      <c r="K10" s="8" t="str">
        <f t="shared" si="3"/>
        <v>Alemanha</v>
      </c>
      <c r="L10" s="9">
        <f t="shared" si="5"/>
        <v>4</v>
      </c>
      <c r="M10" s="9">
        <f t="shared" si="4"/>
        <v>0</v>
      </c>
      <c r="O10" s="88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90"/>
      <c r="R10" s="91"/>
      <c r="S10" s="91"/>
      <c r="T10" s="91"/>
      <c r="U10" s="90"/>
      <c r="V10" s="92"/>
      <c r="Z10" s="92"/>
    </row>
    <row r="11" spans="1:26" ht="15.6" x14ac:dyDescent="0.3">
      <c r="A11" s="53">
        <v>46187</v>
      </c>
      <c r="B11" s="54">
        <v>0.70833333333333337</v>
      </c>
      <c r="C11" s="55" t="s">
        <v>78</v>
      </c>
      <c r="D11" s="46">
        <v>2</v>
      </c>
      <c r="E11" s="46" t="s">
        <v>1</v>
      </c>
      <c r="F11" s="46">
        <v>3</v>
      </c>
      <c r="G11" s="55" t="s">
        <v>19</v>
      </c>
      <c r="H11" s="15">
        <v>0</v>
      </c>
      <c r="I11" s="15">
        <f>COUNTIF($O$2:$O$105,0)</f>
        <v>37</v>
      </c>
      <c r="J11" s="15">
        <f t="shared" si="6"/>
        <v>0</v>
      </c>
      <c r="K11" s="8" t="str">
        <f t="shared" si="3"/>
        <v>Japão</v>
      </c>
      <c r="L11" s="9">
        <f t="shared" si="5"/>
        <v>3</v>
      </c>
      <c r="M11" s="9">
        <f t="shared" si="4"/>
        <v>2</v>
      </c>
      <c r="O11" s="88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90"/>
      <c r="R11" s="91"/>
      <c r="S11" s="91"/>
      <c r="T11" s="91"/>
      <c r="U11" s="90"/>
      <c r="V11" s="92"/>
      <c r="Z11" s="92"/>
    </row>
    <row r="12" spans="1:26" ht="18" x14ac:dyDescent="0.35">
      <c r="A12" s="53">
        <v>46187</v>
      </c>
      <c r="B12" s="54">
        <v>0.83333333333333337</v>
      </c>
      <c r="C12" s="55" t="s">
        <v>118</v>
      </c>
      <c r="D12" s="46">
        <v>2</v>
      </c>
      <c r="E12" s="46" t="s">
        <v>1</v>
      </c>
      <c r="F12" s="46">
        <v>2</v>
      </c>
      <c r="G12" s="55" t="s">
        <v>102</v>
      </c>
      <c r="H12" s="15"/>
      <c r="I12" s="16" t="s">
        <v>46</v>
      </c>
      <c r="J12" s="17">
        <f>SUM(J7:J11)</f>
        <v>166</v>
      </c>
      <c r="K12" s="8" t="str">
        <f t="shared" si="3"/>
        <v>EMPATE</v>
      </c>
      <c r="L12" s="9">
        <f t="shared" si="5"/>
        <v>2</v>
      </c>
      <c r="M12" s="9">
        <f t="shared" si="4"/>
        <v>2</v>
      </c>
      <c r="O12" s="88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90"/>
      <c r="R12" s="91"/>
      <c r="S12" s="91"/>
      <c r="T12" s="91"/>
      <c r="U12" s="90"/>
      <c r="V12" s="92"/>
      <c r="Z12" s="92"/>
    </row>
    <row r="13" spans="1:26" ht="15.6" x14ac:dyDescent="0.3">
      <c r="A13" s="53">
        <v>46187</v>
      </c>
      <c r="B13" s="54">
        <v>0.95833333333333337</v>
      </c>
      <c r="C13" s="55" t="s">
        <v>14</v>
      </c>
      <c r="D13" s="46">
        <v>2</v>
      </c>
      <c r="E13" s="46" t="s">
        <v>1</v>
      </c>
      <c r="F13" s="46">
        <v>1</v>
      </c>
      <c r="G13" s="55" t="s">
        <v>17</v>
      </c>
      <c r="K13" s="8" t="str">
        <f t="shared" si="3"/>
        <v>Suécia</v>
      </c>
      <c r="L13" s="9">
        <f t="shared" si="5"/>
        <v>2</v>
      </c>
      <c r="M13" s="9">
        <f t="shared" si="4"/>
        <v>1</v>
      </c>
      <c r="O13" s="88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  <c r="Q13" s="90"/>
      <c r="R13" s="91"/>
      <c r="S13" s="91"/>
      <c r="T13" s="91"/>
      <c r="U13" s="90"/>
      <c r="V13" s="92"/>
      <c r="Z13" s="92"/>
    </row>
    <row r="14" spans="1:26" ht="15.6" x14ac:dyDescent="0.3">
      <c r="A14" s="53">
        <v>46188</v>
      </c>
      <c r="B14" s="54">
        <v>0.54166666666666663</v>
      </c>
      <c r="C14" s="55" t="s">
        <v>6</v>
      </c>
      <c r="D14" s="46">
        <v>4</v>
      </c>
      <c r="E14" s="46" t="s">
        <v>1</v>
      </c>
      <c r="F14" s="46">
        <v>1</v>
      </c>
      <c r="G14" s="55" t="s">
        <v>121</v>
      </c>
      <c r="K14" s="8" t="str">
        <f t="shared" si="3"/>
        <v>Espanha</v>
      </c>
      <c r="L14" s="9">
        <f t="shared" si="5"/>
        <v>4</v>
      </c>
      <c r="M14" s="9">
        <f t="shared" si="4"/>
        <v>1</v>
      </c>
      <c r="O14" s="88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90"/>
      <c r="R14" s="91"/>
      <c r="S14" s="91"/>
      <c r="T14" s="91"/>
      <c r="U14" s="90"/>
      <c r="V14" s="92"/>
      <c r="Z14" s="92"/>
    </row>
    <row r="15" spans="1:26" ht="15.6" x14ac:dyDescent="0.3">
      <c r="A15" s="53">
        <v>46188</v>
      </c>
      <c r="B15" s="54">
        <v>0.66666666666666663</v>
      </c>
      <c r="C15" s="55" t="s">
        <v>16</v>
      </c>
      <c r="D15" s="46">
        <v>3</v>
      </c>
      <c r="E15" s="46" t="s">
        <v>1</v>
      </c>
      <c r="F15" s="46">
        <v>1</v>
      </c>
      <c r="G15" s="55" t="s">
        <v>119</v>
      </c>
      <c r="K15" s="8" t="str">
        <f t="shared" si="3"/>
        <v>Bélgica</v>
      </c>
      <c r="L15" s="9">
        <f t="shared" si="5"/>
        <v>3</v>
      </c>
      <c r="M15" s="9">
        <f t="shared" si="4"/>
        <v>1</v>
      </c>
      <c r="O15" s="88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90"/>
      <c r="R15" s="91"/>
      <c r="S15" s="91"/>
      <c r="T15" s="91"/>
      <c r="U15" s="90"/>
      <c r="V15" s="92"/>
      <c r="Z15" s="92"/>
    </row>
    <row r="16" spans="1:26" ht="15.6" x14ac:dyDescent="0.3">
      <c r="A16" s="53">
        <v>46188</v>
      </c>
      <c r="B16" s="54">
        <v>0.79166666666666663</v>
      </c>
      <c r="C16" s="55" t="s">
        <v>2</v>
      </c>
      <c r="D16" s="46">
        <v>0</v>
      </c>
      <c r="E16" s="46" t="s">
        <v>1</v>
      </c>
      <c r="F16" s="46">
        <v>3</v>
      </c>
      <c r="G16" s="55" t="s">
        <v>3</v>
      </c>
      <c r="K16" s="8" t="str">
        <f t="shared" si="3"/>
        <v>Uruguai</v>
      </c>
      <c r="L16" s="9">
        <f t="shared" si="5"/>
        <v>3</v>
      </c>
      <c r="M16" s="9">
        <f t="shared" si="4"/>
        <v>0</v>
      </c>
      <c r="O16" s="88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90"/>
      <c r="R16" s="91"/>
      <c r="S16" s="91"/>
      <c r="T16" s="91"/>
      <c r="U16" s="90"/>
      <c r="V16" s="92"/>
      <c r="Z16" s="92"/>
    </row>
    <row r="17" spans="1:26" ht="15.6" x14ac:dyDescent="0.3">
      <c r="A17" s="53">
        <v>46188</v>
      </c>
      <c r="B17" s="54">
        <v>0.91666666666666663</v>
      </c>
      <c r="C17" s="55" t="s">
        <v>103</v>
      </c>
      <c r="D17" s="46">
        <v>0</v>
      </c>
      <c r="E17" s="46" t="s">
        <v>1</v>
      </c>
      <c r="F17" s="46">
        <v>0</v>
      </c>
      <c r="G17" s="55" t="s">
        <v>120</v>
      </c>
      <c r="K17" s="8" t="str">
        <f t="shared" si="3"/>
        <v>EMPATE</v>
      </c>
      <c r="L17" s="9">
        <f t="shared" si="5"/>
        <v>0</v>
      </c>
      <c r="M17" s="9">
        <f t="shared" si="4"/>
        <v>0</v>
      </c>
      <c r="O17" s="88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  <c r="Q17" s="90"/>
      <c r="R17" s="91"/>
      <c r="S17" s="91"/>
      <c r="T17" s="91"/>
      <c r="U17" s="90"/>
      <c r="V17" s="92"/>
      <c r="Z17" s="92"/>
    </row>
    <row r="18" spans="1:26" ht="15.6" x14ac:dyDescent="0.3">
      <c r="A18" s="53">
        <v>46189</v>
      </c>
      <c r="B18" s="54">
        <v>0.66666666666666663</v>
      </c>
      <c r="C18" s="55" t="s">
        <v>7</v>
      </c>
      <c r="D18" s="46">
        <v>2</v>
      </c>
      <c r="E18" s="46" t="s">
        <v>1</v>
      </c>
      <c r="F18" s="46">
        <v>0</v>
      </c>
      <c r="G18" s="55" t="s">
        <v>20</v>
      </c>
      <c r="K18" s="8" t="str">
        <f t="shared" si="3"/>
        <v>França</v>
      </c>
      <c r="L18" s="9">
        <f t="shared" si="5"/>
        <v>2</v>
      </c>
      <c r="M18" s="9">
        <f t="shared" si="4"/>
        <v>0</v>
      </c>
      <c r="O18" s="88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3</v>
      </c>
      <c r="Q18" s="90"/>
      <c r="R18" s="91"/>
      <c r="S18" s="91"/>
      <c r="T18" s="91"/>
      <c r="U18" s="90"/>
      <c r="V18" s="92"/>
      <c r="Z18" s="92"/>
    </row>
    <row r="19" spans="1:26" ht="15.6" x14ac:dyDescent="0.3">
      <c r="A19" s="53">
        <v>46189</v>
      </c>
      <c r="B19" s="54">
        <v>0.79166666666666663</v>
      </c>
      <c r="C19" s="55" t="s">
        <v>122</v>
      </c>
      <c r="D19" s="46">
        <v>1</v>
      </c>
      <c r="E19" s="46" t="s">
        <v>1</v>
      </c>
      <c r="F19" s="46">
        <v>1</v>
      </c>
      <c r="G19" s="55" t="s">
        <v>123</v>
      </c>
      <c r="K19" s="8" t="str">
        <f t="shared" si="3"/>
        <v>EMPATE</v>
      </c>
      <c r="L19" s="9">
        <f t="shared" si="5"/>
        <v>1</v>
      </c>
      <c r="M19" s="9">
        <f t="shared" si="4"/>
        <v>1</v>
      </c>
      <c r="O19" s="88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  <c r="Q19" s="90"/>
      <c r="R19" s="91"/>
      <c r="S19" s="91"/>
      <c r="T19" s="91"/>
      <c r="U19" s="90"/>
      <c r="V19" s="92"/>
      <c r="Z19" s="92"/>
    </row>
    <row r="20" spans="1:26" ht="15.6" x14ac:dyDescent="0.3">
      <c r="A20" s="53">
        <v>46189</v>
      </c>
      <c r="B20" s="54">
        <v>0.91666666666666663</v>
      </c>
      <c r="C20" s="55" t="s">
        <v>9</v>
      </c>
      <c r="D20" s="46">
        <v>3</v>
      </c>
      <c r="E20" s="46" t="s">
        <v>1</v>
      </c>
      <c r="F20" s="46">
        <v>1</v>
      </c>
      <c r="G20" s="55" t="s">
        <v>124</v>
      </c>
      <c r="K20" s="8" t="str">
        <f t="shared" si="3"/>
        <v>Argentina</v>
      </c>
      <c r="L20" s="9">
        <f t="shared" si="5"/>
        <v>3</v>
      </c>
      <c r="M20" s="9">
        <f t="shared" si="4"/>
        <v>1</v>
      </c>
      <c r="O20" s="88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6</v>
      </c>
      <c r="Q20" s="90"/>
      <c r="R20" s="91"/>
      <c r="S20" s="91"/>
      <c r="T20" s="91"/>
      <c r="U20" s="90"/>
      <c r="V20" s="92"/>
      <c r="Z20" s="92"/>
    </row>
    <row r="21" spans="1:26" ht="15.6" x14ac:dyDescent="0.3">
      <c r="A21" s="53">
        <v>46190</v>
      </c>
      <c r="B21" s="54">
        <v>4.1666666666666664E-2</v>
      </c>
      <c r="C21" s="55" t="s">
        <v>125</v>
      </c>
      <c r="D21" s="46">
        <v>1</v>
      </c>
      <c r="E21" s="46" t="s">
        <v>1</v>
      </c>
      <c r="F21" s="46">
        <v>1</v>
      </c>
      <c r="G21" s="55" t="s">
        <v>126</v>
      </c>
      <c r="K21" s="8" t="str">
        <f t="shared" si="3"/>
        <v>EMPATE</v>
      </c>
      <c r="L21" s="9">
        <f t="shared" si="5"/>
        <v>1</v>
      </c>
      <c r="M21" s="9">
        <f t="shared" si="4"/>
        <v>1</v>
      </c>
      <c r="O21" s="88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0</v>
      </c>
      <c r="Q21" s="90"/>
      <c r="R21" s="91"/>
      <c r="S21" s="91"/>
      <c r="T21" s="91"/>
      <c r="U21" s="90"/>
      <c r="V21" s="92"/>
      <c r="Z21" s="92"/>
    </row>
    <row r="22" spans="1:26" ht="15.6" x14ac:dyDescent="0.3">
      <c r="A22" s="53">
        <v>46190</v>
      </c>
      <c r="B22" s="54">
        <v>0.58333333333333337</v>
      </c>
      <c r="C22" s="55" t="s">
        <v>5</v>
      </c>
      <c r="D22" s="46">
        <v>3</v>
      </c>
      <c r="E22" s="46" t="s">
        <v>1</v>
      </c>
      <c r="F22" s="46">
        <v>1</v>
      </c>
      <c r="G22" s="55" t="s">
        <v>127</v>
      </c>
      <c r="K22" s="8" t="str">
        <f t="shared" si="3"/>
        <v>Portugal</v>
      </c>
      <c r="L22" s="9">
        <f t="shared" si="5"/>
        <v>3</v>
      </c>
      <c r="M22" s="9">
        <f t="shared" si="4"/>
        <v>1</v>
      </c>
      <c r="O22" s="88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90"/>
      <c r="R22" s="91"/>
      <c r="S22" s="91"/>
      <c r="T22" s="91"/>
      <c r="U22" s="90"/>
      <c r="V22" s="92"/>
      <c r="Z22" s="92"/>
    </row>
    <row r="23" spans="1:26" ht="15.6" x14ac:dyDescent="0.3">
      <c r="A23" s="53">
        <v>46190</v>
      </c>
      <c r="B23" s="54">
        <v>0.70833333333333337</v>
      </c>
      <c r="C23" s="55" t="s">
        <v>18</v>
      </c>
      <c r="D23" s="46">
        <v>2</v>
      </c>
      <c r="E23" s="46" t="s">
        <v>1</v>
      </c>
      <c r="F23" s="46">
        <v>2</v>
      </c>
      <c r="G23" s="55" t="s">
        <v>10</v>
      </c>
      <c r="K23" s="8" t="str">
        <f t="shared" si="3"/>
        <v>EMPATE</v>
      </c>
      <c r="L23" s="9">
        <f t="shared" si="5"/>
        <v>2</v>
      </c>
      <c r="M23" s="9">
        <f t="shared" si="4"/>
        <v>2</v>
      </c>
      <c r="O23" s="88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  <c r="Q23" s="90"/>
      <c r="R23" s="91"/>
      <c r="S23" s="91"/>
      <c r="T23" s="91"/>
      <c r="U23" s="90"/>
      <c r="V23" s="92"/>
      <c r="Z23" s="92"/>
    </row>
    <row r="24" spans="1:26" ht="15.6" x14ac:dyDescent="0.3">
      <c r="A24" s="53">
        <v>46190</v>
      </c>
      <c r="B24" s="54">
        <v>0.83333333333333337</v>
      </c>
      <c r="C24" s="55" t="s">
        <v>106</v>
      </c>
      <c r="D24" s="46">
        <v>2</v>
      </c>
      <c r="E24" s="46" t="s">
        <v>1</v>
      </c>
      <c r="F24" s="46">
        <v>1</v>
      </c>
      <c r="G24" s="55" t="s">
        <v>130</v>
      </c>
      <c r="K24" s="8" t="str">
        <f t="shared" si="3"/>
        <v>Gana</v>
      </c>
      <c r="L24" s="9">
        <f t="shared" si="5"/>
        <v>2</v>
      </c>
      <c r="M24" s="9">
        <f t="shared" si="4"/>
        <v>1</v>
      </c>
      <c r="O24" s="88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  <c r="Q24" s="90"/>
      <c r="R24" s="91"/>
      <c r="S24" s="91"/>
      <c r="T24" s="91"/>
      <c r="U24" s="90"/>
      <c r="V24" s="92"/>
      <c r="Z24" s="92"/>
    </row>
    <row r="25" spans="1:26" ht="15.6" x14ac:dyDescent="0.3">
      <c r="A25" s="53">
        <v>46190</v>
      </c>
      <c r="B25" s="54">
        <v>0.95833333333333337</v>
      </c>
      <c r="C25" s="55" t="s">
        <v>128</v>
      </c>
      <c r="D25" s="46">
        <v>1</v>
      </c>
      <c r="E25" s="46" t="s">
        <v>1</v>
      </c>
      <c r="F25" s="46">
        <v>2</v>
      </c>
      <c r="G25" s="55" t="s">
        <v>129</v>
      </c>
      <c r="K25" s="8" t="str">
        <f t="shared" si="3"/>
        <v>Colômbia</v>
      </c>
      <c r="L25" s="9">
        <f t="shared" si="5"/>
        <v>2</v>
      </c>
      <c r="M25" s="9">
        <f t="shared" si="4"/>
        <v>1</v>
      </c>
      <c r="O25" s="88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4</v>
      </c>
      <c r="Q25" s="90"/>
      <c r="R25" s="91"/>
      <c r="S25" s="91"/>
      <c r="T25" s="91"/>
      <c r="U25" s="90"/>
      <c r="V25" s="92"/>
      <c r="Z25" s="92"/>
    </row>
    <row r="26" spans="1:26" x14ac:dyDescent="0.3">
      <c r="A26" s="100">
        <v>46191</v>
      </c>
      <c r="B26" s="101">
        <v>0.54166666666666663</v>
      </c>
      <c r="C26" s="102" t="s">
        <v>111</v>
      </c>
      <c r="D26" s="103">
        <v>2</v>
      </c>
      <c r="E26" s="103" t="s">
        <v>1</v>
      </c>
      <c r="F26" s="103">
        <v>1</v>
      </c>
      <c r="G26" s="102" t="s">
        <v>88</v>
      </c>
      <c r="K26" s="8" t="str">
        <f t="shared" si="3"/>
        <v>República Tcheca</v>
      </c>
      <c r="L26" s="9">
        <f t="shared" si="5"/>
        <v>2</v>
      </c>
      <c r="M26" s="9">
        <f t="shared" si="4"/>
        <v>1</v>
      </c>
      <c r="O26" s="88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86"/>
      <c r="R26" s="48"/>
      <c r="S26" s="48"/>
      <c r="T26" s="48"/>
      <c r="U26" s="86"/>
      <c r="V26"/>
      <c r="W26"/>
      <c r="X26"/>
      <c r="Y26"/>
      <c r="Z26"/>
    </row>
    <row r="27" spans="1:26" x14ac:dyDescent="0.3">
      <c r="A27" s="100">
        <v>46191</v>
      </c>
      <c r="B27" s="101">
        <v>0.66666666666666663</v>
      </c>
      <c r="C27" s="102" t="s">
        <v>72</v>
      </c>
      <c r="D27" s="103">
        <v>1</v>
      </c>
      <c r="E27" s="103" t="s">
        <v>1</v>
      </c>
      <c r="F27" s="103">
        <v>2</v>
      </c>
      <c r="G27" s="102" t="s">
        <v>112</v>
      </c>
      <c r="K27" s="8" t="str">
        <f t="shared" si="3"/>
        <v>Bósnia</v>
      </c>
      <c r="L27" s="9">
        <f t="shared" si="5"/>
        <v>2</v>
      </c>
      <c r="M27" s="9">
        <f t="shared" si="4"/>
        <v>1</v>
      </c>
      <c r="O27" s="88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86"/>
      <c r="R27" s="48"/>
      <c r="S27" s="48"/>
      <c r="T27" s="48"/>
      <c r="U27" s="86"/>
      <c r="V27"/>
      <c r="W27"/>
      <c r="X27"/>
      <c r="Y27"/>
      <c r="Z27"/>
    </row>
    <row r="28" spans="1:26" x14ac:dyDescent="0.3">
      <c r="A28" s="100">
        <v>46191</v>
      </c>
      <c r="B28" s="101">
        <v>0.79166666666666663</v>
      </c>
      <c r="C28" s="102" t="s">
        <v>105</v>
      </c>
      <c r="D28" s="103">
        <v>3</v>
      </c>
      <c r="E28" s="103" t="s">
        <v>1</v>
      </c>
      <c r="F28" s="103">
        <v>1</v>
      </c>
      <c r="G28" s="102" t="s">
        <v>97</v>
      </c>
      <c r="K28" s="8" t="str">
        <f t="shared" si="3"/>
        <v>Canadá</v>
      </c>
      <c r="L28" s="9">
        <f t="shared" si="5"/>
        <v>3</v>
      </c>
      <c r="M28" s="9">
        <f t="shared" si="4"/>
        <v>1</v>
      </c>
      <c r="O28" s="88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Q28" s="86"/>
      <c r="R28" s="48"/>
      <c r="S28" s="48"/>
      <c r="T28" s="48"/>
      <c r="U28" s="86"/>
      <c r="V28"/>
      <c r="W28"/>
      <c r="X28"/>
      <c r="Y28"/>
      <c r="Z28"/>
    </row>
    <row r="29" spans="1:26" x14ac:dyDescent="0.3">
      <c r="A29" s="100">
        <v>46191</v>
      </c>
      <c r="B29" s="101">
        <v>0.91666666666666663</v>
      </c>
      <c r="C29" s="102" t="s">
        <v>13</v>
      </c>
      <c r="D29" s="103">
        <v>1</v>
      </c>
      <c r="E29" s="103" t="s">
        <v>1</v>
      </c>
      <c r="F29" s="103">
        <v>1</v>
      </c>
      <c r="G29" s="102" t="s">
        <v>15</v>
      </c>
      <c r="K29" s="8" t="str">
        <f t="shared" si="3"/>
        <v>EMPATE</v>
      </c>
      <c r="L29" s="9">
        <f t="shared" si="5"/>
        <v>1</v>
      </c>
      <c r="M29" s="9">
        <f t="shared" si="4"/>
        <v>1</v>
      </c>
      <c r="O29" s="88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Q29" s="86"/>
      <c r="R29" s="48"/>
      <c r="S29" s="48"/>
      <c r="T29" s="48"/>
      <c r="U29" s="86"/>
      <c r="V29"/>
      <c r="W29"/>
      <c r="X29"/>
      <c r="Y29"/>
      <c r="Z29"/>
    </row>
    <row r="30" spans="1:26" x14ac:dyDescent="0.3">
      <c r="A30" s="100">
        <v>46192</v>
      </c>
      <c r="B30" s="101">
        <v>0.66666666666666663</v>
      </c>
      <c r="C30" s="102" t="s">
        <v>104</v>
      </c>
      <c r="D30" s="103">
        <v>3</v>
      </c>
      <c r="E30" s="103" t="s">
        <v>1</v>
      </c>
      <c r="F30" s="103">
        <v>0</v>
      </c>
      <c r="G30" s="102" t="s">
        <v>8</v>
      </c>
      <c r="K30" s="8" t="str">
        <f t="shared" si="3"/>
        <v>Estados Unidos</v>
      </c>
      <c r="L30" s="9">
        <f t="shared" si="5"/>
        <v>3</v>
      </c>
      <c r="M30" s="9">
        <f t="shared" si="4"/>
        <v>0</v>
      </c>
      <c r="O30" s="88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4</v>
      </c>
      <c r="Q30" s="86"/>
      <c r="R30" s="48"/>
      <c r="S30" s="48"/>
      <c r="T30" s="48"/>
      <c r="U30" s="86"/>
      <c r="V30"/>
      <c r="W30"/>
      <c r="X30"/>
      <c r="Y30"/>
      <c r="Z30"/>
    </row>
    <row r="31" spans="1:26" x14ac:dyDescent="0.3">
      <c r="A31" s="100">
        <v>46192</v>
      </c>
      <c r="B31" s="101">
        <v>0.79166666666666663</v>
      </c>
      <c r="C31" s="102" t="s">
        <v>114</v>
      </c>
      <c r="D31" s="103">
        <v>1</v>
      </c>
      <c r="E31" s="103" t="s">
        <v>1</v>
      </c>
      <c r="F31" s="103">
        <v>2</v>
      </c>
      <c r="G31" s="102" t="s">
        <v>4</v>
      </c>
      <c r="K31" s="8" t="str">
        <f t="shared" si="3"/>
        <v>Marrocos</v>
      </c>
      <c r="L31" s="9">
        <f t="shared" si="5"/>
        <v>2</v>
      </c>
      <c r="M31" s="9">
        <f t="shared" si="4"/>
        <v>1</v>
      </c>
      <c r="O31" s="88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Q31" s="86"/>
      <c r="R31" s="48"/>
      <c r="S31" s="48"/>
      <c r="T31" s="48"/>
      <c r="U31" s="86"/>
      <c r="V31"/>
      <c r="W31"/>
      <c r="X31"/>
      <c r="Y31"/>
      <c r="Z31"/>
    </row>
    <row r="32" spans="1:26" x14ac:dyDescent="0.3">
      <c r="A32" s="100">
        <v>46192</v>
      </c>
      <c r="B32" s="101">
        <v>0.89583333333333337</v>
      </c>
      <c r="C32" s="102" t="s">
        <v>11</v>
      </c>
      <c r="D32" s="103">
        <v>3</v>
      </c>
      <c r="E32" s="103" t="s">
        <v>1</v>
      </c>
      <c r="F32" s="103">
        <v>0</v>
      </c>
      <c r="G32" s="102" t="s">
        <v>113</v>
      </c>
      <c r="K32" s="8" t="str">
        <f t="shared" si="3"/>
        <v>Brasil</v>
      </c>
      <c r="L32" s="9">
        <f t="shared" si="5"/>
        <v>3</v>
      </c>
      <c r="M32" s="9">
        <f t="shared" si="4"/>
        <v>0</v>
      </c>
      <c r="O32" s="88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9</v>
      </c>
      <c r="Q32" s="86"/>
      <c r="R32" s="48"/>
      <c r="S32" s="48"/>
      <c r="T32" s="48"/>
      <c r="U32" s="86"/>
      <c r="V32"/>
      <c r="W32"/>
      <c r="X32"/>
      <c r="Y32"/>
      <c r="Z32"/>
    </row>
    <row r="33" spans="1:26" x14ac:dyDescent="0.3">
      <c r="A33" s="100">
        <v>46193</v>
      </c>
      <c r="B33" s="101">
        <v>4.1666666666666664E-2</v>
      </c>
      <c r="C33" s="102" t="s">
        <v>116</v>
      </c>
      <c r="D33" s="103">
        <v>0</v>
      </c>
      <c r="E33" s="103" t="s">
        <v>1</v>
      </c>
      <c r="F33" s="103">
        <v>2</v>
      </c>
      <c r="G33" s="102" t="s">
        <v>115</v>
      </c>
      <c r="K33" s="8" t="str">
        <f t="shared" si="3"/>
        <v>Paraguai</v>
      </c>
      <c r="L33" s="9">
        <f t="shared" si="5"/>
        <v>2</v>
      </c>
      <c r="M33" s="9">
        <f t="shared" si="4"/>
        <v>0</v>
      </c>
      <c r="O33" s="88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4</v>
      </c>
      <c r="Q33" s="86"/>
      <c r="R33" s="48"/>
      <c r="S33" s="48"/>
      <c r="T33" s="48"/>
      <c r="U33" s="86"/>
      <c r="V33"/>
      <c r="W33"/>
      <c r="X33"/>
      <c r="Y33"/>
      <c r="Z33"/>
    </row>
    <row r="34" spans="1:26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2</v>
      </c>
      <c r="G34" s="102" t="s">
        <v>14</v>
      </c>
      <c r="K34" s="8" t="str">
        <f t="shared" si="3"/>
        <v>EMPATE</v>
      </c>
      <c r="L34" s="9">
        <f t="shared" si="5"/>
        <v>2</v>
      </c>
      <c r="M34" s="9">
        <f t="shared" si="4"/>
        <v>2</v>
      </c>
      <c r="O34" s="88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  <c r="Q34" s="86"/>
      <c r="R34" s="48"/>
      <c r="S34" s="48"/>
      <c r="T34" s="48"/>
      <c r="U34" s="86"/>
      <c r="V34"/>
      <c r="W34"/>
      <c r="X34"/>
      <c r="Y34"/>
      <c r="Z34"/>
    </row>
    <row r="35" spans="1:26" x14ac:dyDescent="0.3">
      <c r="A35" s="100">
        <v>46193</v>
      </c>
      <c r="B35" s="101">
        <v>0.70833333333333337</v>
      </c>
      <c r="C35" s="102" t="s">
        <v>12</v>
      </c>
      <c r="D35" s="103">
        <v>4</v>
      </c>
      <c r="E35" s="103" t="s">
        <v>1</v>
      </c>
      <c r="F35" s="103">
        <v>1</v>
      </c>
      <c r="G35" s="102" t="s">
        <v>118</v>
      </c>
      <c r="K35" s="8" t="str">
        <f t="shared" si="3"/>
        <v>Alemanha</v>
      </c>
      <c r="L35" s="9">
        <f t="shared" si="5"/>
        <v>4</v>
      </c>
      <c r="M35" s="9">
        <f t="shared" si="4"/>
        <v>1</v>
      </c>
      <c r="O35" s="88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Q35" s="86"/>
      <c r="R35" s="48"/>
      <c r="S35" s="48"/>
      <c r="T35" s="48"/>
      <c r="U35" s="86"/>
      <c r="V35"/>
      <c r="W35"/>
      <c r="X35"/>
      <c r="Y35"/>
      <c r="Z35"/>
    </row>
    <row r="36" spans="1:26" x14ac:dyDescent="0.3">
      <c r="A36" s="100">
        <v>46193</v>
      </c>
      <c r="B36" s="101">
        <v>0.875</v>
      </c>
      <c r="C36" s="102" t="s">
        <v>102</v>
      </c>
      <c r="D36" s="103">
        <v>2</v>
      </c>
      <c r="E36" s="103" t="s">
        <v>1</v>
      </c>
      <c r="F36" s="103">
        <v>1</v>
      </c>
      <c r="G36" s="102" t="s">
        <v>117</v>
      </c>
      <c r="K36" s="8" t="str">
        <f t="shared" si="3"/>
        <v>Equador</v>
      </c>
      <c r="L36" s="9">
        <f t="shared" si="5"/>
        <v>2</v>
      </c>
      <c r="M36" s="9">
        <f t="shared" si="4"/>
        <v>1</v>
      </c>
      <c r="O36" s="88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86"/>
      <c r="R36" s="48"/>
      <c r="S36" s="48"/>
      <c r="T36" s="48"/>
      <c r="U36" s="86"/>
      <c r="V36"/>
      <c r="W36"/>
      <c r="X36"/>
      <c r="Y36"/>
      <c r="Z36"/>
    </row>
    <row r="37" spans="1:26" x14ac:dyDescent="0.3">
      <c r="A37" s="100">
        <v>46194</v>
      </c>
      <c r="B37" s="101">
        <v>4.1666666666666664E-2</v>
      </c>
      <c r="C37" s="102" t="s">
        <v>17</v>
      </c>
      <c r="D37" s="103">
        <v>0</v>
      </c>
      <c r="E37" s="103" t="s">
        <v>1</v>
      </c>
      <c r="F37" s="103">
        <v>2</v>
      </c>
      <c r="G37" s="102" t="s">
        <v>19</v>
      </c>
      <c r="K37" s="8" t="str">
        <f t="shared" si="3"/>
        <v>Japão</v>
      </c>
      <c r="L37" s="9">
        <f t="shared" si="5"/>
        <v>2</v>
      </c>
      <c r="M37" s="9">
        <f t="shared" si="4"/>
        <v>0</v>
      </c>
      <c r="O37" s="88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4</v>
      </c>
      <c r="Q37" s="86"/>
      <c r="R37" s="48"/>
      <c r="S37" s="48"/>
      <c r="T37" s="48"/>
      <c r="U37" s="86"/>
      <c r="V37"/>
      <c r="W37"/>
      <c r="X37"/>
      <c r="Y37"/>
      <c r="Z37"/>
    </row>
    <row r="38" spans="1:26" x14ac:dyDescent="0.3">
      <c r="A38" s="100">
        <v>46194</v>
      </c>
      <c r="B38" s="101">
        <v>0.54166666666666663</v>
      </c>
      <c r="C38" s="102" t="s">
        <v>6</v>
      </c>
      <c r="D38" s="103">
        <v>3</v>
      </c>
      <c r="E38" s="103" t="s">
        <v>1</v>
      </c>
      <c r="F38" s="103">
        <v>1</v>
      </c>
      <c r="G38" s="102" t="s">
        <v>2</v>
      </c>
      <c r="K38" s="8" t="str">
        <f t="shared" si="3"/>
        <v>Espanha</v>
      </c>
      <c r="L38" s="9">
        <f t="shared" si="5"/>
        <v>3</v>
      </c>
      <c r="M38" s="9">
        <f t="shared" si="4"/>
        <v>1</v>
      </c>
      <c r="O38" s="88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3</v>
      </c>
      <c r="Q38" s="86"/>
      <c r="R38" s="48"/>
      <c r="S38" s="48"/>
      <c r="T38" s="48"/>
      <c r="U38" s="86"/>
      <c r="V38"/>
      <c r="W38"/>
      <c r="X38"/>
      <c r="Y38"/>
      <c r="Z38"/>
    </row>
    <row r="39" spans="1:26" x14ac:dyDescent="0.3">
      <c r="A39" s="100">
        <v>46194</v>
      </c>
      <c r="B39" s="101">
        <v>0.66666666666666663</v>
      </c>
      <c r="C39" s="102" t="s">
        <v>16</v>
      </c>
      <c r="D39" s="103">
        <v>3</v>
      </c>
      <c r="E39" s="103" t="s">
        <v>1</v>
      </c>
      <c r="F39" s="103">
        <v>1</v>
      </c>
      <c r="G39" s="102" t="s">
        <v>103</v>
      </c>
      <c r="K39" s="8" t="str">
        <f t="shared" si="3"/>
        <v>Bélgica</v>
      </c>
      <c r="L39" s="9">
        <f t="shared" si="5"/>
        <v>3</v>
      </c>
      <c r="M39" s="9">
        <f t="shared" si="4"/>
        <v>1</v>
      </c>
      <c r="O39" s="88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86"/>
      <c r="R39" s="48"/>
      <c r="S39" s="48"/>
      <c r="T39" s="48"/>
      <c r="U39" s="86"/>
      <c r="V39"/>
      <c r="W39"/>
      <c r="X39"/>
      <c r="Y39"/>
      <c r="Z39"/>
    </row>
    <row r="40" spans="1:26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0</v>
      </c>
      <c r="G40" s="102" t="s">
        <v>121</v>
      </c>
      <c r="K40" s="8" t="str">
        <f t="shared" si="3"/>
        <v>Uruguai</v>
      </c>
      <c r="L40" s="9">
        <f t="shared" si="5"/>
        <v>2</v>
      </c>
      <c r="M40" s="9">
        <f t="shared" si="4"/>
        <v>0</v>
      </c>
      <c r="O40" s="88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86"/>
      <c r="R40" s="48"/>
      <c r="S40" s="48"/>
      <c r="T40" s="48"/>
      <c r="U40" s="86"/>
      <c r="V40"/>
      <c r="W40"/>
      <c r="X40"/>
      <c r="Y40"/>
      <c r="Z40"/>
    </row>
    <row r="41" spans="1:26" x14ac:dyDescent="0.3">
      <c r="A41" s="100">
        <v>46194</v>
      </c>
      <c r="B41" s="101">
        <v>0.91666666666666663</v>
      </c>
      <c r="C41" s="102" t="s">
        <v>120</v>
      </c>
      <c r="D41" s="103">
        <v>0</v>
      </c>
      <c r="E41" s="103" t="s">
        <v>1</v>
      </c>
      <c r="F41" s="103">
        <v>0</v>
      </c>
      <c r="G41" s="102" t="s">
        <v>119</v>
      </c>
      <c r="K41" s="8" t="str">
        <f t="shared" si="3"/>
        <v>EMPATE</v>
      </c>
      <c r="L41" s="9">
        <f t="shared" si="5"/>
        <v>0</v>
      </c>
      <c r="M41" s="9">
        <f t="shared" si="4"/>
        <v>0</v>
      </c>
      <c r="O41" s="88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86"/>
      <c r="R41" s="48"/>
      <c r="S41" s="48"/>
      <c r="T41" s="48"/>
      <c r="U41" s="86"/>
      <c r="V41"/>
      <c r="W41"/>
      <c r="X41"/>
      <c r="Y41"/>
      <c r="Z41"/>
    </row>
    <row r="42" spans="1:26" x14ac:dyDescent="0.3">
      <c r="A42" s="100">
        <v>46195</v>
      </c>
      <c r="B42" s="101">
        <v>0.58333333333333337</v>
      </c>
      <c r="C42" s="102" t="s">
        <v>9</v>
      </c>
      <c r="D42" s="103">
        <v>3</v>
      </c>
      <c r="E42" s="103" t="s">
        <v>1</v>
      </c>
      <c r="F42" s="103">
        <v>1</v>
      </c>
      <c r="G42" s="102" t="s">
        <v>125</v>
      </c>
      <c r="K42" s="8" t="str">
        <f t="shared" si="3"/>
        <v>Argentina</v>
      </c>
      <c r="L42" s="9">
        <f t="shared" si="5"/>
        <v>3</v>
      </c>
      <c r="M42" s="9">
        <f t="shared" si="4"/>
        <v>1</v>
      </c>
      <c r="O42" s="88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3</v>
      </c>
      <c r="Q42" s="86"/>
      <c r="R42" s="48"/>
      <c r="S42" s="48"/>
      <c r="T42" s="48"/>
      <c r="U42" s="86"/>
      <c r="V42"/>
      <c r="W42"/>
      <c r="X42"/>
      <c r="Y42"/>
      <c r="Z42"/>
    </row>
    <row r="43" spans="1:26" x14ac:dyDescent="0.3">
      <c r="A43" s="100">
        <v>46195</v>
      </c>
      <c r="B43" s="101">
        <v>0.75</v>
      </c>
      <c r="C43" s="102" t="s">
        <v>7</v>
      </c>
      <c r="D43" s="103">
        <v>3</v>
      </c>
      <c r="E43" s="103" t="s">
        <v>1</v>
      </c>
      <c r="F43" s="103">
        <v>0</v>
      </c>
      <c r="G43" s="102" t="s">
        <v>122</v>
      </c>
      <c r="K43" s="8" t="str">
        <f t="shared" si="3"/>
        <v>França</v>
      </c>
      <c r="L43" s="9">
        <f t="shared" si="5"/>
        <v>3</v>
      </c>
      <c r="M43" s="9">
        <f t="shared" si="4"/>
        <v>0</v>
      </c>
      <c r="O43" s="88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9</v>
      </c>
      <c r="Q43" s="86"/>
      <c r="R43" s="48"/>
      <c r="S43" s="48"/>
      <c r="T43" s="48"/>
      <c r="U43" s="86"/>
      <c r="V43"/>
      <c r="W43"/>
      <c r="X43"/>
      <c r="Y43"/>
      <c r="Z43"/>
    </row>
    <row r="44" spans="1:26" x14ac:dyDescent="0.3">
      <c r="A44" s="100">
        <v>46195</v>
      </c>
      <c r="B44" s="101">
        <v>0.875</v>
      </c>
      <c r="C44" s="102" t="s">
        <v>123</v>
      </c>
      <c r="D44" s="103">
        <v>2</v>
      </c>
      <c r="E44" s="103" t="s">
        <v>1</v>
      </c>
      <c r="F44" s="103">
        <v>0</v>
      </c>
      <c r="G44" s="102" t="s">
        <v>20</v>
      </c>
      <c r="K44" s="8" t="str">
        <f t="shared" si="3"/>
        <v>Noruega</v>
      </c>
      <c r="L44" s="9">
        <f t="shared" si="5"/>
        <v>2</v>
      </c>
      <c r="M44" s="9">
        <f t="shared" si="4"/>
        <v>0</v>
      </c>
      <c r="O44" s="88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86"/>
      <c r="R44" s="48"/>
      <c r="S44" s="48"/>
      <c r="T44" s="48"/>
      <c r="U44" s="86"/>
      <c r="V44"/>
      <c r="W44"/>
      <c r="X44"/>
      <c r="Y44"/>
      <c r="Z44"/>
    </row>
    <row r="45" spans="1:26" x14ac:dyDescent="0.3">
      <c r="A45" s="100">
        <v>46196</v>
      </c>
      <c r="B45" s="101">
        <v>0</v>
      </c>
      <c r="C45" s="102" t="s">
        <v>126</v>
      </c>
      <c r="D45" s="103">
        <v>1</v>
      </c>
      <c r="E45" s="103" t="s">
        <v>1</v>
      </c>
      <c r="F45" s="103">
        <v>1</v>
      </c>
      <c r="G45" s="102" t="s">
        <v>124</v>
      </c>
      <c r="K45" s="8" t="str">
        <f t="shared" si="3"/>
        <v>EMPATE</v>
      </c>
      <c r="L45" s="9">
        <f t="shared" si="5"/>
        <v>1</v>
      </c>
      <c r="M45" s="9">
        <f t="shared" si="4"/>
        <v>1</v>
      </c>
      <c r="O45" s="88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0</v>
      </c>
      <c r="Q45" s="86"/>
      <c r="R45" s="48"/>
      <c r="S45" s="48"/>
      <c r="T45" s="48"/>
      <c r="U45" s="86"/>
      <c r="V45"/>
      <c r="W45"/>
      <c r="X45"/>
      <c r="Y45"/>
      <c r="Z45"/>
    </row>
    <row r="46" spans="1:26" ht="15" customHeight="1" x14ac:dyDescent="0.3">
      <c r="A46" s="100">
        <v>46196</v>
      </c>
      <c r="B46" s="101">
        <v>0.58333333333333337</v>
      </c>
      <c r="C46" s="102" t="s">
        <v>5</v>
      </c>
      <c r="D46" s="103">
        <v>3</v>
      </c>
      <c r="E46" s="103" t="s">
        <v>1</v>
      </c>
      <c r="F46" s="103">
        <v>1</v>
      </c>
      <c r="G46" s="102" t="s">
        <v>128</v>
      </c>
      <c r="K46" s="8" t="str">
        <f t="shared" si="3"/>
        <v>Portugal</v>
      </c>
      <c r="L46" s="9">
        <f t="shared" si="5"/>
        <v>3</v>
      </c>
      <c r="M46" s="9">
        <f t="shared" si="4"/>
        <v>1</v>
      </c>
      <c r="O46" s="88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3</v>
      </c>
      <c r="Q46" s="86"/>
      <c r="R46" s="48"/>
      <c r="S46" s="48"/>
      <c r="T46" s="48"/>
      <c r="U46" s="86"/>
      <c r="V46"/>
      <c r="W46"/>
      <c r="X46"/>
      <c r="Y46"/>
      <c r="Z46"/>
    </row>
    <row r="47" spans="1:26" x14ac:dyDescent="0.3">
      <c r="A47" s="100">
        <v>46196</v>
      </c>
      <c r="B47" s="101">
        <v>0.70833333333333337</v>
      </c>
      <c r="C47" s="102" t="s">
        <v>18</v>
      </c>
      <c r="D47" s="103">
        <v>3</v>
      </c>
      <c r="E47" s="103" t="s">
        <v>1</v>
      </c>
      <c r="F47" s="103">
        <v>0</v>
      </c>
      <c r="G47" s="102" t="s">
        <v>106</v>
      </c>
      <c r="K47" s="8" t="str">
        <f t="shared" si="3"/>
        <v>Inglaterra</v>
      </c>
      <c r="L47" s="9">
        <f t="shared" si="5"/>
        <v>3</v>
      </c>
      <c r="M47" s="9">
        <f t="shared" si="4"/>
        <v>0</v>
      </c>
      <c r="O47" s="88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  <c r="Q47" s="86"/>
      <c r="R47" s="48"/>
      <c r="S47" s="48"/>
      <c r="T47" s="48"/>
      <c r="U47" s="86"/>
      <c r="V47"/>
      <c r="W47"/>
      <c r="X47"/>
      <c r="Y47"/>
      <c r="Z47"/>
    </row>
    <row r="48" spans="1:26" x14ac:dyDescent="0.3">
      <c r="A48" s="100">
        <v>46196</v>
      </c>
      <c r="B48" s="101">
        <v>0.83333333333333337</v>
      </c>
      <c r="C48" s="102" t="s">
        <v>130</v>
      </c>
      <c r="D48" s="103">
        <v>0</v>
      </c>
      <c r="E48" s="103" t="s">
        <v>1</v>
      </c>
      <c r="F48" s="103">
        <v>3</v>
      </c>
      <c r="G48" s="102" t="s">
        <v>10</v>
      </c>
      <c r="K48" s="8" t="str">
        <f t="shared" si="3"/>
        <v>Croácia</v>
      </c>
      <c r="L48" s="9">
        <f t="shared" si="5"/>
        <v>3</v>
      </c>
      <c r="M48" s="9">
        <f t="shared" si="4"/>
        <v>0</v>
      </c>
      <c r="O48" s="88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4</v>
      </c>
      <c r="Q48" s="86"/>
      <c r="R48" s="48"/>
      <c r="S48" s="48"/>
      <c r="T48" s="48"/>
      <c r="U48" s="86"/>
      <c r="V48"/>
      <c r="W48"/>
      <c r="X48"/>
      <c r="Y48"/>
      <c r="Z48"/>
    </row>
    <row r="49" spans="1:26" x14ac:dyDescent="0.3">
      <c r="A49" s="104">
        <v>46196</v>
      </c>
      <c r="B49" s="101">
        <v>0.95833333333333337</v>
      </c>
      <c r="C49" s="105" t="s">
        <v>129</v>
      </c>
      <c r="D49" s="106">
        <v>2</v>
      </c>
      <c r="E49" s="106" t="s">
        <v>1</v>
      </c>
      <c r="F49" s="106">
        <v>1</v>
      </c>
      <c r="G49" s="105" t="s">
        <v>127</v>
      </c>
      <c r="K49" s="8" t="str">
        <f t="shared" si="3"/>
        <v>Colômbia</v>
      </c>
      <c r="L49" s="9">
        <f t="shared" si="5"/>
        <v>2</v>
      </c>
      <c r="M49" s="9">
        <f t="shared" si="4"/>
        <v>1</v>
      </c>
      <c r="O49" s="88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3</v>
      </c>
      <c r="Q49" s="86"/>
      <c r="R49" s="48"/>
      <c r="S49" s="48"/>
      <c r="T49" s="48"/>
      <c r="U49" s="86"/>
      <c r="V49"/>
      <c r="W49"/>
      <c r="X49"/>
      <c r="Y49"/>
      <c r="Z49"/>
    </row>
    <row r="50" spans="1:26" x14ac:dyDescent="0.3">
      <c r="A50" s="56">
        <v>46197</v>
      </c>
      <c r="B50" s="54">
        <v>0.66666666666666663</v>
      </c>
      <c r="C50" s="57" t="s">
        <v>72</v>
      </c>
      <c r="D50" s="58">
        <v>2</v>
      </c>
      <c r="E50" s="58" t="s">
        <v>1</v>
      </c>
      <c r="F50" s="58">
        <v>3</v>
      </c>
      <c r="G50" s="57" t="s">
        <v>105</v>
      </c>
      <c r="K50" s="8" t="str">
        <f t="shared" si="3"/>
        <v>Canadá</v>
      </c>
      <c r="L50" s="9">
        <f t="shared" si="5"/>
        <v>3</v>
      </c>
      <c r="M50" s="9">
        <f t="shared" si="4"/>
        <v>2</v>
      </c>
      <c r="O50" s="88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0</v>
      </c>
      <c r="Q50" s="86"/>
      <c r="R50" s="48"/>
      <c r="S50" s="48"/>
      <c r="T50" s="48"/>
      <c r="U50" s="86"/>
      <c r="V50"/>
      <c r="W50"/>
      <c r="X50"/>
      <c r="Y50"/>
      <c r="Z50"/>
    </row>
    <row r="51" spans="1:26" x14ac:dyDescent="0.3">
      <c r="A51" s="56">
        <v>46197</v>
      </c>
      <c r="B51" s="54">
        <v>0.66666666666666663</v>
      </c>
      <c r="C51" s="57" t="s">
        <v>112</v>
      </c>
      <c r="D51" s="58">
        <v>2</v>
      </c>
      <c r="E51" s="58" t="s">
        <v>1</v>
      </c>
      <c r="F51" s="58">
        <v>2</v>
      </c>
      <c r="G51" s="57" t="s">
        <v>97</v>
      </c>
      <c r="K51" s="8" t="str">
        <f t="shared" si="3"/>
        <v>EMPATE</v>
      </c>
      <c r="L51" s="9">
        <f t="shared" si="5"/>
        <v>2</v>
      </c>
      <c r="M51" s="9">
        <f t="shared" si="4"/>
        <v>2</v>
      </c>
      <c r="O51" s="88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0</v>
      </c>
      <c r="Q51" s="86"/>
      <c r="R51" s="48"/>
      <c r="S51" s="48"/>
      <c r="T51" s="48"/>
      <c r="U51" s="86"/>
      <c r="V51"/>
      <c r="W51"/>
      <c r="X51"/>
      <c r="Y51"/>
      <c r="Z51"/>
    </row>
    <row r="52" spans="1:26" x14ac:dyDescent="0.3">
      <c r="A52" s="56">
        <v>46197</v>
      </c>
      <c r="B52" s="54">
        <v>0.79166666666666663</v>
      </c>
      <c r="C52" s="59" t="s">
        <v>4</v>
      </c>
      <c r="D52" s="58">
        <v>3</v>
      </c>
      <c r="E52" s="58" t="s">
        <v>1</v>
      </c>
      <c r="F52" s="58">
        <v>0</v>
      </c>
      <c r="G52" s="59" t="s">
        <v>113</v>
      </c>
      <c r="K52" s="8" t="str">
        <f t="shared" si="3"/>
        <v>Marrocos</v>
      </c>
      <c r="L52" s="9">
        <f t="shared" si="5"/>
        <v>3</v>
      </c>
      <c r="M52" s="9">
        <f t="shared" si="4"/>
        <v>0</v>
      </c>
      <c r="O52" s="88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  <c r="V52"/>
      <c r="W52"/>
      <c r="X52"/>
      <c r="Y52"/>
      <c r="Z52"/>
    </row>
    <row r="53" spans="1:26" x14ac:dyDescent="0.3">
      <c r="A53" s="56">
        <v>46197</v>
      </c>
      <c r="B53" s="54">
        <v>0.79166666666666663</v>
      </c>
      <c r="C53" s="59" t="s">
        <v>114</v>
      </c>
      <c r="D53" s="58">
        <v>1</v>
      </c>
      <c r="E53" s="58" t="s">
        <v>1</v>
      </c>
      <c r="F53" s="58">
        <v>3</v>
      </c>
      <c r="G53" s="59" t="s">
        <v>11</v>
      </c>
      <c r="K53" s="8" t="str">
        <f t="shared" si="3"/>
        <v>Brasil</v>
      </c>
      <c r="L53" s="9">
        <f t="shared" si="5"/>
        <v>3</v>
      </c>
      <c r="M53" s="9">
        <f t="shared" si="4"/>
        <v>1</v>
      </c>
      <c r="O53" s="88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6</v>
      </c>
      <c r="Q53" s="117"/>
      <c r="R53" s="48"/>
      <c r="S53" s="48"/>
      <c r="T53" s="48"/>
      <c r="U53" s="117"/>
      <c r="V53"/>
      <c r="W53"/>
      <c r="X53"/>
      <c r="Y53"/>
      <c r="Z53"/>
    </row>
    <row r="54" spans="1:26" x14ac:dyDescent="0.3">
      <c r="A54" s="53">
        <v>46197</v>
      </c>
      <c r="B54" s="54">
        <v>0.91666666666666663</v>
      </c>
      <c r="C54" s="55" t="s">
        <v>88</v>
      </c>
      <c r="D54" s="46">
        <v>1</v>
      </c>
      <c r="E54" s="46" t="s">
        <v>1</v>
      </c>
      <c r="F54" s="46">
        <v>3</v>
      </c>
      <c r="G54" s="55" t="s">
        <v>15</v>
      </c>
      <c r="K54" s="8" t="str">
        <f t="shared" si="3"/>
        <v>Coréia do Sul</v>
      </c>
      <c r="L54" s="9">
        <f t="shared" si="5"/>
        <v>3</v>
      </c>
      <c r="M54" s="9">
        <f t="shared" si="4"/>
        <v>1</v>
      </c>
      <c r="O54" s="88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  <c r="V54"/>
      <c r="W54"/>
      <c r="X54"/>
      <c r="Y54"/>
      <c r="Z54"/>
    </row>
    <row r="55" spans="1:26" x14ac:dyDescent="0.3">
      <c r="A55" s="53">
        <v>46197</v>
      </c>
      <c r="B55" s="54">
        <v>0.91666666666666663</v>
      </c>
      <c r="C55" s="55" t="s">
        <v>111</v>
      </c>
      <c r="D55" s="46">
        <v>1</v>
      </c>
      <c r="E55" s="46" t="s">
        <v>1</v>
      </c>
      <c r="F55" s="46">
        <v>3</v>
      </c>
      <c r="G55" s="55" t="s">
        <v>13</v>
      </c>
      <c r="K55" s="8" t="str">
        <f t="shared" si="3"/>
        <v>México</v>
      </c>
      <c r="L55" s="9">
        <f t="shared" si="5"/>
        <v>3</v>
      </c>
      <c r="M55" s="9">
        <f t="shared" si="4"/>
        <v>1</v>
      </c>
      <c r="O55" s="88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6</v>
      </c>
      <c r="Q55" s="86"/>
      <c r="R55" s="48"/>
      <c r="S55" s="48"/>
      <c r="T55" s="48"/>
      <c r="U55" s="86"/>
      <c r="V55"/>
      <c r="W55"/>
      <c r="X55"/>
      <c r="Y55"/>
      <c r="Z55"/>
    </row>
    <row r="56" spans="1:26" x14ac:dyDescent="0.3">
      <c r="A56" s="53">
        <v>46198</v>
      </c>
      <c r="B56" s="54">
        <v>0.70833333333333337</v>
      </c>
      <c r="C56" s="45" t="s">
        <v>102</v>
      </c>
      <c r="D56" s="46">
        <v>0</v>
      </c>
      <c r="E56" s="46" t="s">
        <v>1</v>
      </c>
      <c r="F56" s="46">
        <v>2</v>
      </c>
      <c r="G56" s="45" t="s">
        <v>12</v>
      </c>
      <c r="K56" s="8" t="str">
        <f t="shared" si="3"/>
        <v>Alemanha</v>
      </c>
      <c r="L56" s="9">
        <f t="shared" si="5"/>
        <v>2</v>
      </c>
      <c r="M56" s="9">
        <f t="shared" si="4"/>
        <v>0</v>
      </c>
      <c r="O56" s="88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  <c r="V56"/>
      <c r="W56"/>
      <c r="X56"/>
      <c r="Y56"/>
      <c r="Z56"/>
    </row>
    <row r="57" spans="1:26" x14ac:dyDescent="0.3">
      <c r="A57" s="53">
        <v>46198</v>
      </c>
      <c r="B57" s="54">
        <v>0.70833333333333337</v>
      </c>
      <c r="C57" s="45" t="s">
        <v>117</v>
      </c>
      <c r="D57" s="46">
        <v>0</v>
      </c>
      <c r="E57" s="46" t="s">
        <v>1</v>
      </c>
      <c r="F57" s="46">
        <v>2</v>
      </c>
      <c r="G57" s="45" t="s">
        <v>118</v>
      </c>
      <c r="K57" s="8" t="str">
        <f t="shared" si="3"/>
        <v>Costa do Marfim</v>
      </c>
      <c r="L57" s="9">
        <f t="shared" si="5"/>
        <v>2</v>
      </c>
      <c r="M57" s="9">
        <f t="shared" si="4"/>
        <v>0</v>
      </c>
      <c r="O57" s="88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9</v>
      </c>
      <c r="Q57" s="117"/>
      <c r="R57" s="48"/>
      <c r="S57" s="48"/>
      <c r="T57" s="48"/>
      <c r="U57" s="117"/>
      <c r="V57"/>
      <c r="W57"/>
      <c r="X57"/>
      <c r="Y57"/>
      <c r="Z57"/>
    </row>
    <row r="58" spans="1:26" x14ac:dyDescent="0.3">
      <c r="A58" s="53">
        <v>46198</v>
      </c>
      <c r="B58" s="54">
        <v>0.83333333333333337</v>
      </c>
      <c r="C58" s="45" t="s">
        <v>17</v>
      </c>
      <c r="D58" s="46">
        <v>1</v>
      </c>
      <c r="E58" s="46" t="s">
        <v>1</v>
      </c>
      <c r="F58" s="46">
        <v>3</v>
      </c>
      <c r="G58" s="45" t="s">
        <v>78</v>
      </c>
      <c r="K58" s="8" t="str">
        <f t="shared" si="3"/>
        <v>Holanda</v>
      </c>
      <c r="L58" s="9">
        <f t="shared" si="5"/>
        <v>3</v>
      </c>
      <c r="M58" s="9">
        <f t="shared" si="4"/>
        <v>1</v>
      </c>
      <c r="O58" s="88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9</v>
      </c>
      <c r="Q58" s="117"/>
      <c r="R58" s="48"/>
      <c r="S58" s="48"/>
      <c r="T58" s="48"/>
      <c r="U58" s="117"/>
      <c r="V58"/>
      <c r="W58"/>
      <c r="X58"/>
      <c r="Y58"/>
      <c r="Z58"/>
    </row>
    <row r="59" spans="1:26" x14ac:dyDescent="0.3">
      <c r="A59" s="53">
        <v>46198</v>
      </c>
      <c r="B59" s="54">
        <v>0.83333333333333337</v>
      </c>
      <c r="C59" s="45" t="s">
        <v>19</v>
      </c>
      <c r="D59" s="46">
        <v>2</v>
      </c>
      <c r="E59" s="46" t="s">
        <v>1</v>
      </c>
      <c r="F59" s="46">
        <v>0</v>
      </c>
      <c r="G59" s="45" t="s">
        <v>14</v>
      </c>
      <c r="K59" s="8" t="str">
        <f t="shared" si="3"/>
        <v>Japão</v>
      </c>
      <c r="L59" s="9">
        <f t="shared" si="5"/>
        <v>2</v>
      </c>
      <c r="M59" s="9">
        <f t="shared" si="4"/>
        <v>0</v>
      </c>
      <c r="O59" s="88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0</v>
      </c>
      <c r="Q59" s="117"/>
      <c r="R59" s="48"/>
      <c r="S59" s="48"/>
      <c r="T59" s="48"/>
      <c r="U59" s="117"/>
      <c r="V59"/>
      <c r="W59"/>
      <c r="X59"/>
      <c r="Y59"/>
      <c r="Z59"/>
    </row>
    <row r="60" spans="1:26" x14ac:dyDescent="0.3">
      <c r="A60" s="53">
        <v>46198</v>
      </c>
      <c r="B60" s="54">
        <v>0.95833333333333337</v>
      </c>
      <c r="C60" s="45" t="s">
        <v>116</v>
      </c>
      <c r="D60" s="46">
        <v>0</v>
      </c>
      <c r="E60" s="46" t="s">
        <v>1</v>
      </c>
      <c r="F60" s="46">
        <v>2</v>
      </c>
      <c r="G60" s="45" t="s">
        <v>104</v>
      </c>
      <c r="K60" s="8" t="str">
        <f t="shared" si="3"/>
        <v>Estados Unidos</v>
      </c>
      <c r="L60" s="9">
        <f t="shared" si="5"/>
        <v>2</v>
      </c>
      <c r="M60" s="9">
        <f t="shared" si="4"/>
        <v>0</v>
      </c>
      <c r="O60" s="88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  <c r="V60"/>
      <c r="W60"/>
      <c r="X60"/>
      <c r="Y60"/>
      <c r="Z60"/>
    </row>
    <row r="61" spans="1:26" x14ac:dyDescent="0.3">
      <c r="A61" s="53">
        <v>46198</v>
      </c>
      <c r="B61" s="54">
        <v>0.95833333333333337</v>
      </c>
      <c r="C61" s="45" t="s">
        <v>115</v>
      </c>
      <c r="D61" s="46">
        <v>1</v>
      </c>
      <c r="E61" s="46" t="s">
        <v>1</v>
      </c>
      <c r="F61" s="46">
        <v>0</v>
      </c>
      <c r="G61" s="45" t="s">
        <v>8</v>
      </c>
      <c r="K61" s="8" t="str">
        <f t="shared" si="3"/>
        <v>Paraguai</v>
      </c>
      <c r="L61" s="9">
        <f t="shared" si="5"/>
        <v>1</v>
      </c>
      <c r="M61" s="9">
        <f t="shared" si="4"/>
        <v>0</v>
      </c>
      <c r="O61" s="88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0</v>
      </c>
      <c r="Q61" s="117"/>
      <c r="R61" s="48"/>
      <c r="S61" s="48"/>
      <c r="T61" s="48"/>
      <c r="U61" s="117"/>
      <c r="V61"/>
      <c r="W61"/>
      <c r="X61"/>
      <c r="Y61"/>
      <c r="Z61"/>
    </row>
    <row r="62" spans="1:26" x14ac:dyDescent="0.3">
      <c r="A62" s="53">
        <v>46199</v>
      </c>
      <c r="B62" s="54">
        <v>0.66666666666666663</v>
      </c>
      <c r="C62" s="45" t="s">
        <v>20</v>
      </c>
      <c r="D62" s="46">
        <v>1</v>
      </c>
      <c r="E62" s="46" t="s">
        <v>1</v>
      </c>
      <c r="F62" s="46">
        <v>1</v>
      </c>
      <c r="G62" s="45" t="s">
        <v>122</v>
      </c>
      <c r="K62" s="8" t="str">
        <f t="shared" si="3"/>
        <v>EMPATE</v>
      </c>
      <c r="L62" s="9">
        <f t="shared" si="5"/>
        <v>1</v>
      </c>
      <c r="M62" s="9">
        <f t="shared" si="4"/>
        <v>1</v>
      </c>
      <c r="O62" s="88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0</v>
      </c>
      <c r="Q62" s="117"/>
      <c r="R62" s="48"/>
      <c r="S62" s="48"/>
      <c r="T62" s="48"/>
      <c r="U62" s="117"/>
      <c r="V62"/>
      <c r="W62"/>
      <c r="X62"/>
      <c r="Y62"/>
      <c r="Z62"/>
    </row>
    <row r="63" spans="1:26" x14ac:dyDescent="0.3">
      <c r="A63" s="53">
        <v>46199</v>
      </c>
      <c r="B63" s="54">
        <v>0.66666666666666663</v>
      </c>
      <c r="C63" s="45" t="s">
        <v>123</v>
      </c>
      <c r="D63" s="46">
        <v>2</v>
      </c>
      <c r="E63" s="46" t="s">
        <v>1</v>
      </c>
      <c r="F63" s="46">
        <v>4</v>
      </c>
      <c r="G63" s="45" t="s">
        <v>7</v>
      </c>
      <c r="K63" s="8" t="str">
        <f t="shared" si="3"/>
        <v>França</v>
      </c>
      <c r="L63" s="9">
        <f t="shared" si="5"/>
        <v>4</v>
      </c>
      <c r="M63" s="9">
        <f t="shared" si="4"/>
        <v>2</v>
      </c>
      <c r="O63" s="88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6</v>
      </c>
      <c r="Q63" s="117"/>
      <c r="R63" s="48"/>
      <c r="S63" s="48"/>
      <c r="T63" s="48"/>
      <c r="U63" s="117"/>
      <c r="V63"/>
      <c r="W63"/>
      <c r="X63"/>
      <c r="Y63"/>
      <c r="Z63"/>
    </row>
    <row r="64" spans="1:26" x14ac:dyDescent="0.3">
      <c r="A64" s="53">
        <v>46199</v>
      </c>
      <c r="B64" s="54">
        <v>0.875</v>
      </c>
      <c r="C64" s="45" t="s">
        <v>121</v>
      </c>
      <c r="D64" s="46">
        <v>2</v>
      </c>
      <c r="E64" s="46" t="s">
        <v>1</v>
      </c>
      <c r="F64" s="46">
        <v>0</v>
      </c>
      <c r="G64" s="45" t="s">
        <v>2</v>
      </c>
      <c r="K64" s="8" t="str">
        <f t="shared" si="3"/>
        <v>Cabo Verde</v>
      </c>
      <c r="L64" s="9">
        <f t="shared" si="5"/>
        <v>2</v>
      </c>
      <c r="M64" s="9">
        <f t="shared" si="4"/>
        <v>0</v>
      </c>
      <c r="O64" s="88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0</v>
      </c>
      <c r="Q64" s="117"/>
      <c r="R64" s="48"/>
      <c r="S64" s="48"/>
      <c r="T64" s="48"/>
      <c r="U64" s="117"/>
      <c r="V64"/>
      <c r="W64"/>
      <c r="X64"/>
      <c r="Y64"/>
      <c r="Z64"/>
    </row>
    <row r="65" spans="1:28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3</v>
      </c>
      <c r="G65" s="45" t="s">
        <v>6</v>
      </c>
      <c r="K65" s="8" t="str">
        <f t="shared" si="3"/>
        <v>Espanha</v>
      </c>
      <c r="L65" s="9">
        <f t="shared" si="5"/>
        <v>3</v>
      </c>
      <c r="M65" s="9">
        <f t="shared" si="4"/>
        <v>1</v>
      </c>
      <c r="O65" s="88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3</v>
      </c>
      <c r="Q65" s="117"/>
      <c r="R65" s="48"/>
      <c r="S65" s="48"/>
      <c r="T65" s="48"/>
      <c r="U65" s="117"/>
      <c r="V65"/>
      <c r="W65"/>
      <c r="X65"/>
      <c r="Y65"/>
      <c r="Z65"/>
    </row>
    <row r="66" spans="1:28" x14ac:dyDescent="0.3">
      <c r="A66" s="53">
        <v>46200</v>
      </c>
      <c r="B66" s="54">
        <v>0</v>
      </c>
      <c r="C66" s="45" t="s">
        <v>119</v>
      </c>
      <c r="D66" s="46">
        <v>2</v>
      </c>
      <c r="E66" s="46" t="s">
        <v>1</v>
      </c>
      <c r="F66" s="46">
        <v>0</v>
      </c>
      <c r="G66" s="45" t="s">
        <v>103</v>
      </c>
      <c r="K66" s="8" t="str">
        <f t="shared" si="3"/>
        <v>Egito</v>
      </c>
      <c r="L66" s="9">
        <f t="shared" si="5"/>
        <v>2</v>
      </c>
      <c r="M66" s="9">
        <f t="shared" si="4"/>
        <v>0</v>
      </c>
      <c r="O66" s="88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0</v>
      </c>
      <c r="Q66" s="117"/>
      <c r="R66" s="48"/>
      <c r="S66" s="48"/>
      <c r="T66" s="48"/>
      <c r="U66" s="117"/>
      <c r="V66"/>
      <c r="W66"/>
      <c r="X66"/>
      <c r="Y66"/>
      <c r="Z66"/>
    </row>
    <row r="67" spans="1:28" x14ac:dyDescent="0.3">
      <c r="A67" s="53">
        <v>46200</v>
      </c>
      <c r="B67" s="54">
        <v>0</v>
      </c>
      <c r="C67" s="45" t="s">
        <v>120</v>
      </c>
      <c r="D67" s="46">
        <v>2</v>
      </c>
      <c r="E67" s="46" t="s">
        <v>1</v>
      </c>
      <c r="F67" s="46">
        <v>0</v>
      </c>
      <c r="G67" s="45" t="s">
        <v>16</v>
      </c>
      <c r="K67" s="8" t="str">
        <f t="shared" si="3"/>
        <v>Nova Zelândia</v>
      </c>
      <c r="L67" s="9">
        <f t="shared" si="5"/>
        <v>2</v>
      </c>
      <c r="M67" s="9">
        <f t="shared" si="4"/>
        <v>0</v>
      </c>
      <c r="O67" s="88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0</v>
      </c>
      <c r="Q67" s="117"/>
      <c r="R67" s="48"/>
      <c r="S67" s="48"/>
      <c r="T67" s="48"/>
      <c r="U67" s="117"/>
      <c r="V67"/>
      <c r="W67"/>
      <c r="X67"/>
      <c r="Y67"/>
      <c r="Z67"/>
    </row>
    <row r="68" spans="1:28" x14ac:dyDescent="0.3">
      <c r="A68" s="53">
        <v>46200</v>
      </c>
      <c r="B68" s="54">
        <v>0.75</v>
      </c>
      <c r="C68" s="45" t="s">
        <v>10</v>
      </c>
      <c r="D68" s="46">
        <v>3</v>
      </c>
      <c r="E68" s="46" t="s">
        <v>1</v>
      </c>
      <c r="F68" s="46">
        <v>0</v>
      </c>
      <c r="G68" s="45" t="s">
        <v>106</v>
      </c>
      <c r="K68" s="8" t="str">
        <f t="shared" ref="K68:K71" si="7">IF(D68="","",IF(D68&gt;F68,C68,IF(F68&gt;D68,G68,"EMPATE")))</f>
        <v>Croácia</v>
      </c>
      <c r="L68" s="9">
        <f t="shared" si="5"/>
        <v>3</v>
      </c>
      <c r="M68" s="9">
        <f t="shared" ref="M68:M71" si="8">IF(D68="","",IF(D68&lt;F68,D68,IF(F68&lt;D68,F68,D68)))</f>
        <v>0</v>
      </c>
      <c r="O68" s="88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3</v>
      </c>
      <c r="Q68" s="117"/>
      <c r="R68" s="48"/>
      <c r="S68" s="48"/>
      <c r="T68" s="48"/>
      <c r="U68" s="117"/>
      <c r="V68"/>
      <c r="W68"/>
      <c r="X68"/>
      <c r="Y68"/>
      <c r="Z68"/>
    </row>
    <row r="69" spans="1:28" x14ac:dyDescent="0.3">
      <c r="A69" s="53">
        <v>46200</v>
      </c>
      <c r="B69" s="54">
        <v>0.75</v>
      </c>
      <c r="C69" s="45" t="s">
        <v>130</v>
      </c>
      <c r="D69" s="46">
        <v>1</v>
      </c>
      <c r="E69" s="46" t="s">
        <v>1</v>
      </c>
      <c r="F69" s="46">
        <v>4</v>
      </c>
      <c r="G69" s="45" t="s">
        <v>18</v>
      </c>
      <c r="K69" s="8" t="str">
        <f t="shared" si="7"/>
        <v>Inglaterra</v>
      </c>
      <c r="L69" s="9">
        <f t="shared" ref="L69:L72" si="9">IF(D69="","",IF(D69&gt;F69,D69,IF(F69&gt;D69,F69,D69)))</f>
        <v>4</v>
      </c>
      <c r="M69" s="9">
        <f t="shared" si="8"/>
        <v>1</v>
      </c>
      <c r="O69" s="88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3</v>
      </c>
      <c r="Q69" s="117"/>
      <c r="R69" s="48"/>
      <c r="S69" s="48"/>
      <c r="T69" s="48"/>
      <c r="U69" s="117"/>
      <c r="V69"/>
      <c r="W69"/>
      <c r="X69"/>
      <c r="Y69"/>
      <c r="Z69"/>
    </row>
    <row r="70" spans="1:28" x14ac:dyDescent="0.3">
      <c r="A70" s="53">
        <v>46200</v>
      </c>
      <c r="B70" s="54">
        <v>0.85416666666666663</v>
      </c>
      <c r="C70" s="45" t="s">
        <v>127</v>
      </c>
      <c r="D70" s="46">
        <v>0</v>
      </c>
      <c r="E70" s="46" t="s">
        <v>1</v>
      </c>
      <c r="F70" s="46">
        <v>0</v>
      </c>
      <c r="G70" s="45" t="s">
        <v>128</v>
      </c>
      <c r="K70" s="8" t="str">
        <f t="shared" si="7"/>
        <v>EMPATE</v>
      </c>
      <c r="L70" s="9">
        <f t="shared" si="9"/>
        <v>0</v>
      </c>
      <c r="M70" s="9">
        <f t="shared" si="8"/>
        <v>0</v>
      </c>
      <c r="O70" s="88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0</v>
      </c>
      <c r="Q70" s="117"/>
      <c r="R70" s="48"/>
      <c r="S70" s="48"/>
      <c r="T70" s="48"/>
      <c r="U70" s="117"/>
      <c r="V70"/>
      <c r="W70"/>
      <c r="X70"/>
      <c r="Y70"/>
      <c r="Z70"/>
    </row>
    <row r="71" spans="1:28" x14ac:dyDescent="0.3">
      <c r="A71" s="53">
        <v>46200</v>
      </c>
      <c r="B71" s="54">
        <v>0.85416666666666663</v>
      </c>
      <c r="C71" s="45" t="s">
        <v>129</v>
      </c>
      <c r="D71" s="46">
        <v>1</v>
      </c>
      <c r="E71" s="46" t="s">
        <v>1</v>
      </c>
      <c r="F71" s="46">
        <v>0</v>
      </c>
      <c r="G71" s="45" t="s">
        <v>5</v>
      </c>
      <c r="K71" s="8" t="str">
        <f t="shared" si="7"/>
        <v>Colômbia</v>
      </c>
      <c r="L71" s="9">
        <f t="shared" si="9"/>
        <v>1</v>
      </c>
      <c r="M71" s="9">
        <f t="shared" si="8"/>
        <v>0</v>
      </c>
      <c r="O71" s="88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0</v>
      </c>
      <c r="Q71" s="117"/>
      <c r="R71" s="48"/>
      <c r="S71" s="48"/>
      <c r="T71" s="48"/>
      <c r="U71" s="117"/>
      <c r="V71"/>
      <c r="W71"/>
      <c r="X71"/>
      <c r="Y71"/>
      <c r="Z71"/>
    </row>
    <row r="72" spans="1:28" x14ac:dyDescent="0.3">
      <c r="A72" s="53">
        <v>46200</v>
      </c>
      <c r="B72" s="54">
        <v>0.95833333333333337</v>
      </c>
      <c r="C72" s="45" t="s">
        <v>126</v>
      </c>
      <c r="D72" s="46">
        <v>0</v>
      </c>
      <c r="E72" s="46" t="s">
        <v>1</v>
      </c>
      <c r="F72" s="46">
        <v>3</v>
      </c>
      <c r="G72" s="45" t="s">
        <v>9</v>
      </c>
      <c r="K72" s="8" t="str">
        <f t="shared" ref="K72:K105" si="10">IF(D72="","",IF(D72&gt;F72,C72,IF(F72&gt;D72,G72,"EMPATE")))</f>
        <v>Argentina</v>
      </c>
      <c r="L72" s="9">
        <f t="shared" si="9"/>
        <v>3</v>
      </c>
      <c r="M72" s="9">
        <f t="shared" ref="M72:M105" si="11">IF(D72="","",IF(D72&lt;F72,D72,IF(F72&lt;D72,F72,D72)))</f>
        <v>0</v>
      </c>
      <c r="O72" s="88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6</v>
      </c>
      <c r="Q72" s="117"/>
      <c r="R72" s="48"/>
      <c r="S72" s="48"/>
      <c r="T72" s="48"/>
      <c r="U72" s="117"/>
      <c r="V72"/>
      <c r="W72"/>
      <c r="X72"/>
      <c r="Y72"/>
      <c r="Z72"/>
    </row>
    <row r="73" spans="1:28" x14ac:dyDescent="0.3">
      <c r="A73" s="53">
        <v>46200</v>
      </c>
      <c r="B73" s="54">
        <v>0.95833333333333337</v>
      </c>
      <c r="C73" s="45" t="s">
        <v>124</v>
      </c>
      <c r="D73" s="46">
        <v>1</v>
      </c>
      <c r="E73" s="46" t="s">
        <v>1</v>
      </c>
      <c r="F73" s="46">
        <v>1</v>
      </c>
      <c r="G73" s="45" t="s">
        <v>125</v>
      </c>
      <c r="K73" s="8" t="str">
        <f t="shared" si="10"/>
        <v>EMPATE</v>
      </c>
      <c r="L73" s="9">
        <f t="shared" ref="L73:L105" si="12">IF(D73="","",IF(D73&gt;F73,D73,IF(F73&gt;D73,F73,D73)))</f>
        <v>1</v>
      </c>
      <c r="M73" s="9">
        <f t="shared" si="11"/>
        <v>1</v>
      </c>
      <c r="O73" s="88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6</v>
      </c>
      <c r="Q73" s="117"/>
      <c r="R73" s="48"/>
      <c r="S73" s="48"/>
      <c r="T73" s="48"/>
      <c r="U73" s="117"/>
      <c r="V73"/>
      <c r="W73"/>
      <c r="X73"/>
      <c r="Y73"/>
      <c r="Z73"/>
    </row>
    <row r="74" spans="1:28" x14ac:dyDescent="0.3">
      <c r="A74" s="60">
        <v>46201</v>
      </c>
      <c r="B74" s="61">
        <v>0.66666666666666663</v>
      </c>
      <c r="C74" s="62" t="s">
        <v>88</v>
      </c>
      <c r="D74" s="63">
        <v>0</v>
      </c>
      <c r="E74" s="63" t="s">
        <v>1</v>
      </c>
      <c r="F74" s="63">
        <v>2</v>
      </c>
      <c r="G74" s="62" t="s">
        <v>105</v>
      </c>
      <c r="K74" s="8" t="str">
        <f t="shared" si="10"/>
        <v>Canadá</v>
      </c>
      <c r="L74" s="9">
        <f t="shared" si="12"/>
        <v>2</v>
      </c>
      <c r="M74" s="9">
        <f t="shared" si="11"/>
        <v>0</v>
      </c>
      <c r="O74" s="88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60">
        <v>46201</v>
      </c>
      <c r="R74" s="61">
        <v>0.66666666666666663</v>
      </c>
      <c r="S74" s="62" t="s">
        <v>88</v>
      </c>
      <c r="T74" s="63">
        <v>0</v>
      </c>
      <c r="U74" s="63" t="s">
        <v>1</v>
      </c>
      <c r="V74" s="63">
        <v>2</v>
      </c>
      <c r="W74" s="62" t="s">
        <v>105</v>
      </c>
      <c r="X74" t="b">
        <f>S74=C74</f>
        <v>1</v>
      </c>
      <c r="Y74"/>
      <c r="Z74"/>
      <c r="AB74" t="b">
        <f>W74=G74</f>
        <v>1</v>
      </c>
    </row>
    <row r="75" spans="1:28" x14ac:dyDescent="0.3">
      <c r="A75" s="60">
        <v>46202</v>
      </c>
      <c r="B75" s="61">
        <v>0.58333333333333337</v>
      </c>
      <c r="C75" s="62" t="s">
        <v>11</v>
      </c>
      <c r="D75" s="63">
        <v>2</v>
      </c>
      <c r="E75" s="63" t="s">
        <v>1</v>
      </c>
      <c r="F75" s="63">
        <v>0</v>
      </c>
      <c r="G75" s="62" t="s">
        <v>19</v>
      </c>
      <c r="K75" s="8" t="str">
        <f t="shared" si="10"/>
        <v>Brasil</v>
      </c>
      <c r="L75" s="9">
        <f t="shared" si="12"/>
        <v>2</v>
      </c>
      <c r="M75" s="9">
        <f t="shared" si="11"/>
        <v>0</v>
      </c>
      <c r="O75" s="88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60">
        <v>46202</v>
      </c>
      <c r="R75" s="61">
        <v>0.58333333333333337</v>
      </c>
      <c r="S75" s="62" t="s">
        <v>11</v>
      </c>
      <c r="T75" s="63">
        <v>2</v>
      </c>
      <c r="U75" s="63" t="s">
        <v>1</v>
      </c>
      <c r="V75" s="63">
        <v>0</v>
      </c>
      <c r="W75" s="62" t="s">
        <v>19</v>
      </c>
      <c r="X75" t="b">
        <f t="shared" ref="X75:X89" si="13">S75=C75</f>
        <v>1</v>
      </c>
      <c r="AB75" t="b">
        <f t="shared" ref="AB75:AB89" si="14">W75=G75</f>
        <v>1</v>
      </c>
    </row>
    <row r="76" spans="1:28" x14ac:dyDescent="0.3">
      <c r="A76" s="60">
        <v>46202</v>
      </c>
      <c r="B76" s="61">
        <v>0.72916666666666663</v>
      </c>
      <c r="C76" s="62" t="s">
        <v>12</v>
      </c>
      <c r="D76" s="63">
        <v>4</v>
      </c>
      <c r="E76" s="63" t="s">
        <v>1</v>
      </c>
      <c r="F76" s="63">
        <v>1</v>
      </c>
      <c r="G76" s="62" t="s">
        <v>115</v>
      </c>
      <c r="K76" s="8" t="str">
        <f t="shared" si="10"/>
        <v>Alemanha</v>
      </c>
      <c r="L76" s="9">
        <f t="shared" si="12"/>
        <v>4</v>
      </c>
      <c r="M76" s="9">
        <f t="shared" si="11"/>
        <v>1</v>
      </c>
      <c r="O76" s="88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60">
        <v>46202</v>
      </c>
      <c r="R76" s="61">
        <v>0.72916666666666663</v>
      </c>
      <c r="S76" s="62" t="s">
        <v>12</v>
      </c>
      <c r="T76" s="63">
        <v>4</v>
      </c>
      <c r="U76" s="63" t="s">
        <v>1</v>
      </c>
      <c r="V76" s="63">
        <v>1</v>
      </c>
      <c r="W76" s="62" t="s">
        <v>115</v>
      </c>
      <c r="X76" t="b">
        <f t="shared" si="13"/>
        <v>1</v>
      </c>
      <c r="AB76" t="b">
        <f t="shared" si="14"/>
        <v>1</v>
      </c>
    </row>
    <row r="77" spans="1:28" x14ac:dyDescent="0.3">
      <c r="A77" s="60">
        <v>46202</v>
      </c>
      <c r="B77" s="61">
        <v>0.91666666666666663</v>
      </c>
      <c r="C77" s="62" t="s">
        <v>78</v>
      </c>
      <c r="D77" s="63">
        <v>1</v>
      </c>
      <c r="E77" s="63" t="s">
        <v>1</v>
      </c>
      <c r="F77" s="63">
        <v>2</v>
      </c>
      <c r="G77" s="62" t="s">
        <v>4</v>
      </c>
      <c r="K77" s="8" t="str">
        <f t="shared" si="10"/>
        <v>Marrocos</v>
      </c>
      <c r="L77" s="9">
        <f t="shared" si="12"/>
        <v>2</v>
      </c>
      <c r="M77" s="9">
        <f t="shared" si="11"/>
        <v>1</v>
      </c>
      <c r="O77" s="88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60">
        <v>46202</v>
      </c>
      <c r="R77" s="61">
        <v>0.91666666666666663</v>
      </c>
      <c r="S77" s="62" t="s">
        <v>78</v>
      </c>
      <c r="T77" s="63">
        <v>1</v>
      </c>
      <c r="U77" s="63" t="s">
        <v>1</v>
      </c>
      <c r="V77" s="63">
        <v>2</v>
      </c>
      <c r="W77" s="62" t="s">
        <v>4</v>
      </c>
      <c r="X77" t="b">
        <f t="shared" si="13"/>
        <v>1</v>
      </c>
      <c r="AB77" t="b">
        <f t="shared" si="14"/>
        <v>1</v>
      </c>
    </row>
    <row r="78" spans="1:28" x14ac:dyDescent="0.3">
      <c r="A78" s="60">
        <v>46203</v>
      </c>
      <c r="B78" s="61">
        <v>0.58333333333333337</v>
      </c>
      <c r="C78" s="62" t="s">
        <v>118</v>
      </c>
      <c r="D78" s="63">
        <v>0</v>
      </c>
      <c r="E78" s="63" t="s">
        <v>1</v>
      </c>
      <c r="F78" s="63">
        <v>3</v>
      </c>
      <c r="G78" s="62" t="s">
        <v>123</v>
      </c>
      <c r="K78" s="8" t="str">
        <f t="shared" si="10"/>
        <v>Noruega</v>
      </c>
      <c r="L78" s="9">
        <f t="shared" si="12"/>
        <v>3</v>
      </c>
      <c r="M78" s="9">
        <f t="shared" si="11"/>
        <v>0</v>
      </c>
      <c r="O78" s="88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60">
        <v>46203</v>
      </c>
      <c r="R78" s="61">
        <v>0.58333333333333337</v>
      </c>
      <c r="S78" s="62" t="s">
        <v>118</v>
      </c>
      <c r="T78" s="63">
        <v>0</v>
      </c>
      <c r="U78" s="63" t="s">
        <v>1</v>
      </c>
      <c r="V78" s="63">
        <v>3</v>
      </c>
      <c r="W78" s="62" t="s">
        <v>123</v>
      </c>
      <c r="X78" t="b">
        <f t="shared" si="13"/>
        <v>1</v>
      </c>
      <c r="AB78" t="b">
        <f t="shared" si="14"/>
        <v>1</v>
      </c>
    </row>
    <row r="79" spans="1:28" x14ac:dyDescent="0.3">
      <c r="A79" s="60">
        <v>46203</v>
      </c>
      <c r="B79" s="61">
        <v>0.75</v>
      </c>
      <c r="C79" s="62" t="s">
        <v>7</v>
      </c>
      <c r="D79" s="63">
        <v>5</v>
      </c>
      <c r="E79" s="63" t="s">
        <v>1</v>
      </c>
      <c r="F79" s="63">
        <v>0</v>
      </c>
      <c r="G79" s="62" t="s">
        <v>14</v>
      </c>
      <c r="K79" s="8" t="str">
        <f t="shared" si="10"/>
        <v>França</v>
      </c>
      <c r="L79" s="9">
        <f t="shared" si="12"/>
        <v>5</v>
      </c>
      <c r="M79" s="9">
        <f t="shared" si="11"/>
        <v>0</v>
      </c>
      <c r="O79" s="88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60">
        <v>46203</v>
      </c>
      <c r="R79" s="61">
        <v>0.75</v>
      </c>
      <c r="S79" s="62" t="s">
        <v>7</v>
      </c>
      <c r="T79" s="63">
        <v>5</v>
      </c>
      <c r="U79" s="63" t="s">
        <v>1</v>
      </c>
      <c r="V79" s="63">
        <v>0</v>
      </c>
      <c r="W79" s="62" t="s">
        <v>14</v>
      </c>
      <c r="X79" t="b">
        <f t="shared" si="13"/>
        <v>1</v>
      </c>
      <c r="AB79" t="b">
        <f t="shared" si="14"/>
        <v>1</v>
      </c>
    </row>
    <row r="80" spans="1:28" x14ac:dyDescent="0.3">
      <c r="A80" s="60">
        <v>46203</v>
      </c>
      <c r="B80" s="61">
        <v>0.91666666666666663</v>
      </c>
      <c r="C80" s="62" t="s">
        <v>13</v>
      </c>
      <c r="D80" s="63">
        <v>2</v>
      </c>
      <c r="E80" s="63" t="s">
        <v>1</v>
      </c>
      <c r="F80" s="63">
        <v>1</v>
      </c>
      <c r="G80" s="62" t="s">
        <v>102</v>
      </c>
      <c r="K80" s="8" t="str">
        <f t="shared" si="10"/>
        <v>México</v>
      </c>
      <c r="L80" s="9">
        <f t="shared" si="12"/>
        <v>2</v>
      </c>
      <c r="M80" s="9">
        <f t="shared" si="11"/>
        <v>1</v>
      </c>
      <c r="O80" s="88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60">
        <v>46203</v>
      </c>
      <c r="R80" s="61">
        <v>0.91666666666666663</v>
      </c>
      <c r="S80" s="62" t="s">
        <v>13</v>
      </c>
      <c r="T80" s="63">
        <v>2</v>
      </c>
      <c r="U80" s="63" t="s">
        <v>1</v>
      </c>
      <c r="V80" s="63">
        <v>1</v>
      </c>
      <c r="W80" s="62" t="s">
        <v>102</v>
      </c>
      <c r="X80" t="b">
        <f t="shared" si="13"/>
        <v>1</v>
      </c>
      <c r="AB80" t="b">
        <f t="shared" si="14"/>
        <v>1</v>
      </c>
    </row>
    <row r="81" spans="1:28" x14ac:dyDescent="0.3">
      <c r="A81" s="60">
        <v>46204</v>
      </c>
      <c r="B81" s="61">
        <v>0.54166666666666663</v>
      </c>
      <c r="C81" s="62" t="s">
        <v>18</v>
      </c>
      <c r="D81" s="63">
        <v>4</v>
      </c>
      <c r="E81" s="63" t="s">
        <v>1</v>
      </c>
      <c r="F81" s="63">
        <v>0</v>
      </c>
      <c r="G81" s="62" t="s">
        <v>127</v>
      </c>
      <c r="K81" s="8" t="str">
        <f t="shared" si="10"/>
        <v>Inglaterra</v>
      </c>
      <c r="L81" s="9">
        <f t="shared" si="12"/>
        <v>4</v>
      </c>
      <c r="M81" s="9">
        <f t="shared" si="11"/>
        <v>0</v>
      </c>
      <c r="O81" s="88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60">
        <v>46204</v>
      </c>
      <c r="R81" s="61">
        <v>0.54166666666666663</v>
      </c>
      <c r="S81" s="62" t="s">
        <v>18</v>
      </c>
      <c r="T81" s="63">
        <v>4</v>
      </c>
      <c r="U81" s="63" t="s">
        <v>1</v>
      </c>
      <c r="V81" s="63">
        <v>0</v>
      </c>
      <c r="W81" s="62" t="s">
        <v>127</v>
      </c>
      <c r="X81" t="b">
        <f t="shared" si="13"/>
        <v>1</v>
      </c>
      <c r="AB81" t="b">
        <f t="shared" si="14"/>
        <v>1</v>
      </c>
    </row>
    <row r="82" spans="1:28" x14ac:dyDescent="0.3">
      <c r="A82" s="60">
        <v>46204</v>
      </c>
      <c r="B82" s="61">
        <v>0.70833333333333337</v>
      </c>
      <c r="C82" s="62" t="s">
        <v>16</v>
      </c>
      <c r="D82" s="63">
        <v>1</v>
      </c>
      <c r="E82" s="63" t="s">
        <v>1</v>
      </c>
      <c r="F82" s="63">
        <v>0</v>
      </c>
      <c r="G82" s="62" t="s">
        <v>20</v>
      </c>
      <c r="K82" s="8" t="str">
        <f t="shared" si="10"/>
        <v>Bélgica</v>
      </c>
      <c r="L82" s="9">
        <f t="shared" si="12"/>
        <v>1</v>
      </c>
      <c r="M82" s="9">
        <f t="shared" si="11"/>
        <v>0</v>
      </c>
      <c r="O82" s="88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60">
        <v>46204</v>
      </c>
      <c r="R82" s="61">
        <v>0.70833333333333337</v>
      </c>
      <c r="S82" s="62" t="s">
        <v>16</v>
      </c>
      <c r="T82" s="63">
        <v>1</v>
      </c>
      <c r="U82" s="63" t="s">
        <v>1</v>
      </c>
      <c r="V82" s="63">
        <v>0</v>
      </c>
      <c r="W82" s="62" t="s">
        <v>20</v>
      </c>
      <c r="X82" t="b">
        <f t="shared" si="13"/>
        <v>1</v>
      </c>
      <c r="AB82" t="b">
        <f t="shared" si="14"/>
        <v>1</v>
      </c>
    </row>
    <row r="83" spans="1:28" x14ac:dyDescent="0.3">
      <c r="A83" s="60">
        <v>46204</v>
      </c>
      <c r="B83" s="61">
        <v>0.875</v>
      </c>
      <c r="C83" s="62" t="s">
        <v>104</v>
      </c>
      <c r="D83" s="63">
        <v>2</v>
      </c>
      <c r="E83" s="63" t="s">
        <v>1</v>
      </c>
      <c r="F83" s="63">
        <v>1</v>
      </c>
      <c r="G83" s="62" t="s">
        <v>112</v>
      </c>
      <c r="K83" s="8" t="str">
        <f t="shared" si="10"/>
        <v>Estados Unidos</v>
      </c>
      <c r="L83" s="9">
        <f t="shared" si="12"/>
        <v>2</v>
      </c>
      <c r="M83" s="9">
        <f t="shared" si="11"/>
        <v>1</v>
      </c>
      <c r="O83" s="88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60">
        <v>46204</v>
      </c>
      <c r="R83" s="61">
        <v>0.875</v>
      </c>
      <c r="S83" s="62" t="s">
        <v>104</v>
      </c>
      <c r="T83" s="63">
        <v>2</v>
      </c>
      <c r="U83" s="63" t="s">
        <v>1</v>
      </c>
      <c r="V83" s="63">
        <v>1</v>
      </c>
      <c r="W83" s="62" t="s">
        <v>112</v>
      </c>
      <c r="X83" t="b">
        <f t="shared" si="13"/>
        <v>1</v>
      </c>
      <c r="AB83" t="b">
        <f t="shared" si="14"/>
        <v>1</v>
      </c>
    </row>
    <row r="84" spans="1:28" x14ac:dyDescent="0.3">
      <c r="A84" s="60">
        <v>46205</v>
      </c>
      <c r="B84" s="61">
        <v>0.66666666666666663</v>
      </c>
      <c r="C84" s="62" t="s">
        <v>6</v>
      </c>
      <c r="D84" s="63">
        <v>5</v>
      </c>
      <c r="E84" s="63" t="s">
        <v>1</v>
      </c>
      <c r="F84" s="63">
        <v>1</v>
      </c>
      <c r="G84" s="62" t="s">
        <v>125</v>
      </c>
      <c r="K84" s="8" t="str">
        <f t="shared" si="10"/>
        <v>Espanha</v>
      </c>
      <c r="L84" s="9">
        <f t="shared" si="12"/>
        <v>5</v>
      </c>
      <c r="M84" s="9">
        <f t="shared" si="11"/>
        <v>1</v>
      </c>
      <c r="O84" s="88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60">
        <v>46205</v>
      </c>
      <c r="R84" s="61">
        <v>0.66666666666666663</v>
      </c>
      <c r="S84" s="62" t="s">
        <v>6</v>
      </c>
      <c r="T84" s="63">
        <v>5</v>
      </c>
      <c r="U84" s="63" t="s">
        <v>1</v>
      </c>
      <c r="V84" s="63">
        <v>1</v>
      </c>
      <c r="W84" s="62" t="s">
        <v>125</v>
      </c>
      <c r="X84" t="b">
        <f t="shared" si="13"/>
        <v>1</v>
      </c>
      <c r="AB84" t="b">
        <f t="shared" si="14"/>
        <v>1</v>
      </c>
    </row>
    <row r="85" spans="1:28" x14ac:dyDescent="0.3">
      <c r="A85" s="60">
        <v>46205</v>
      </c>
      <c r="B85" s="61">
        <v>0.83333333333333337</v>
      </c>
      <c r="C85" s="62" t="s">
        <v>5</v>
      </c>
      <c r="D85" s="63">
        <v>2</v>
      </c>
      <c r="E85" s="63" t="s">
        <v>1</v>
      </c>
      <c r="F85" s="63">
        <v>2</v>
      </c>
      <c r="G85" s="62" t="s">
        <v>10</v>
      </c>
      <c r="K85" s="8" t="str">
        <f t="shared" si="10"/>
        <v>EMPATE</v>
      </c>
      <c r="L85" s="9">
        <f t="shared" si="12"/>
        <v>2</v>
      </c>
      <c r="M85" s="9">
        <f t="shared" si="11"/>
        <v>2</v>
      </c>
      <c r="O85" s="88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60">
        <v>46205</v>
      </c>
      <c r="R85" s="61">
        <v>0.83333333333333337</v>
      </c>
      <c r="S85" s="62" t="s">
        <v>5</v>
      </c>
      <c r="T85" s="63">
        <v>2</v>
      </c>
      <c r="U85" s="63" t="s">
        <v>1</v>
      </c>
      <c r="V85" s="63">
        <v>2</v>
      </c>
      <c r="W85" s="62" t="s">
        <v>10</v>
      </c>
      <c r="X85" t="b">
        <f t="shared" si="13"/>
        <v>1</v>
      </c>
      <c r="AB85" t="b">
        <f t="shared" si="14"/>
        <v>1</v>
      </c>
    </row>
    <row r="86" spans="1:28" x14ac:dyDescent="0.3">
      <c r="A86" s="60">
        <v>46206</v>
      </c>
      <c r="B86" s="61">
        <v>0</v>
      </c>
      <c r="C86" s="62" t="s">
        <v>72</v>
      </c>
      <c r="D86" s="63">
        <v>1</v>
      </c>
      <c r="E86" s="63" t="s">
        <v>1</v>
      </c>
      <c r="F86" s="63">
        <v>1</v>
      </c>
      <c r="G86" s="62" t="s">
        <v>124</v>
      </c>
      <c r="K86" s="8" t="str">
        <f t="shared" si="10"/>
        <v>EMPATE</v>
      </c>
      <c r="L86" s="9">
        <f t="shared" si="12"/>
        <v>1</v>
      </c>
      <c r="M86" s="9">
        <f t="shared" si="11"/>
        <v>1</v>
      </c>
      <c r="O86" s="88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60">
        <v>46206</v>
      </c>
      <c r="R86" s="61">
        <v>0</v>
      </c>
      <c r="S86" s="62" t="s">
        <v>72</v>
      </c>
      <c r="T86" s="63">
        <v>1</v>
      </c>
      <c r="U86" s="63" t="s">
        <v>1</v>
      </c>
      <c r="V86" s="63">
        <v>1</v>
      </c>
      <c r="W86" s="62" t="s">
        <v>124</v>
      </c>
      <c r="X86" t="b">
        <f t="shared" si="13"/>
        <v>1</v>
      </c>
      <c r="AB86" t="b">
        <f t="shared" si="14"/>
        <v>1</v>
      </c>
    </row>
    <row r="87" spans="1:28" x14ac:dyDescent="0.3">
      <c r="A87" s="60">
        <v>46206</v>
      </c>
      <c r="B87" s="61">
        <v>0.625</v>
      </c>
      <c r="C87" s="62" t="s">
        <v>8</v>
      </c>
      <c r="D87" s="63">
        <v>2</v>
      </c>
      <c r="E87" s="63" t="s">
        <v>1</v>
      </c>
      <c r="F87" s="63">
        <v>2</v>
      </c>
      <c r="G87" s="62" t="s">
        <v>119</v>
      </c>
      <c r="K87" s="8" t="str">
        <f t="shared" si="10"/>
        <v>EMPATE</v>
      </c>
      <c r="L87" s="9">
        <f t="shared" si="12"/>
        <v>2</v>
      </c>
      <c r="M87" s="9">
        <f t="shared" si="11"/>
        <v>2</v>
      </c>
      <c r="O87" s="88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60">
        <v>46206</v>
      </c>
      <c r="R87" s="61">
        <v>0.625</v>
      </c>
      <c r="S87" s="62" t="s">
        <v>8</v>
      </c>
      <c r="T87" s="63">
        <v>2</v>
      </c>
      <c r="U87" s="63" t="s">
        <v>1</v>
      </c>
      <c r="V87" s="63">
        <v>2</v>
      </c>
      <c r="W87" s="62" t="s">
        <v>119</v>
      </c>
      <c r="X87" t="b">
        <f t="shared" si="13"/>
        <v>1</v>
      </c>
      <c r="AB87" t="b">
        <f t="shared" si="14"/>
        <v>1</v>
      </c>
    </row>
    <row r="88" spans="1:28" x14ac:dyDescent="0.3">
      <c r="A88" s="60">
        <v>46206</v>
      </c>
      <c r="B88" s="61">
        <v>0.79166666666666663</v>
      </c>
      <c r="C88" s="62" t="s">
        <v>9</v>
      </c>
      <c r="D88" s="63">
        <v>4</v>
      </c>
      <c r="E88" s="63" t="s">
        <v>1</v>
      </c>
      <c r="F88" s="63">
        <v>1</v>
      </c>
      <c r="G88" s="62" t="s">
        <v>121</v>
      </c>
      <c r="K88" s="8" t="str">
        <f t="shared" si="10"/>
        <v>Argentina</v>
      </c>
      <c r="L88" s="9">
        <f t="shared" si="12"/>
        <v>4</v>
      </c>
      <c r="M88" s="9">
        <f t="shared" si="11"/>
        <v>1</v>
      </c>
      <c r="O88" s="88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60">
        <v>46206</v>
      </c>
      <c r="R88" s="61">
        <v>0.79166666666666663</v>
      </c>
      <c r="S88" s="62" t="s">
        <v>9</v>
      </c>
      <c r="T88" s="63">
        <v>4</v>
      </c>
      <c r="U88" s="63" t="s">
        <v>1</v>
      </c>
      <c r="V88" s="63">
        <v>1</v>
      </c>
      <c r="W88" s="62" t="s">
        <v>121</v>
      </c>
      <c r="X88" t="b">
        <f t="shared" si="13"/>
        <v>1</v>
      </c>
      <c r="AB88" t="b">
        <f t="shared" si="14"/>
        <v>1</v>
      </c>
    </row>
    <row r="89" spans="1:28" x14ac:dyDescent="0.3">
      <c r="A89" s="60">
        <v>46206</v>
      </c>
      <c r="B89" s="61">
        <v>0.9375</v>
      </c>
      <c r="C89" s="62" t="s">
        <v>129</v>
      </c>
      <c r="D89" s="63">
        <v>2</v>
      </c>
      <c r="E89" s="63" t="s">
        <v>1</v>
      </c>
      <c r="F89" s="63">
        <v>0</v>
      </c>
      <c r="G89" s="62" t="s">
        <v>106</v>
      </c>
      <c r="K89" s="8" t="str">
        <f t="shared" si="10"/>
        <v>Colômbia</v>
      </c>
      <c r="L89" s="9">
        <f t="shared" si="12"/>
        <v>2</v>
      </c>
      <c r="M89" s="9">
        <f t="shared" si="11"/>
        <v>0</v>
      </c>
      <c r="O89" s="88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60">
        <v>46206</v>
      </c>
      <c r="R89" s="61">
        <v>0.9375</v>
      </c>
      <c r="S89" s="62" t="s">
        <v>129</v>
      </c>
      <c r="T89" s="63">
        <v>2</v>
      </c>
      <c r="U89" s="63" t="s">
        <v>1</v>
      </c>
      <c r="V89" s="63">
        <v>0</v>
      </c>
      <c r="W89" s="62" t="s">
        <v>106</v>
      </c>
      <c r="X89" t="b">
        <f t="shared" si="13"/>
        <v>1</v>
      </c>
      <c r="AB89" t="b">
        <f t="shared" si="14"/>
        <v>1</v>
      </c>
    </row>
    <row r="90" spans="1:28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10"/>
        <v/>
      </c>
      <c r="L90" s="9" t="str">
        <f t="shared" si="12"/>
        <v/>
      </c>
      <c r="M90" s="9" t="str">
        <f t="shared" si="11"/>
        <v/>
      </c>
      <c r="O90" s="88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8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10"/>
        <v/>
      </c>
      <c r="L91" s="9" t="str">
        <f t="shared" si="12"/>
        <v/>
      </c>
      <c r="M91" s="9" t="str">
        <f t="shared" si="11"/>
        <v/>
      </c>
      <c r="O91" s="88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8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10"/>
        <v/>
      </c>
      <c r="L92" s="9" t="str">
        <f t="shared" si="12"/>
        <v/>
      </c>
      <c r="M92" s="9" t="str">
        <f t="shared" si="11"/>
        <v/>
      </c>
      <c r="O92" s="88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8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10"/>
        <v/>
      </c>
      <c r="L93" s="9" t="str">
        <f t="shared" si="12"/>
        <v/>
      </c>
      <c r="M93" s="9" t="str">
        <f t="shared" si="11"/>
        <v/>
      </c>
      <c r="O93" s="88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8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10"/>
        <v/>
      </c>
      <c r="L94" s="9" t="str">
        <f t="shared" si="12"/>
        <v/>
      </c>
      <c r="M94" s="9" t="str">
        <f t="shared" si="11"/>
        <v/>
      </c>
      <c r="O94" s="88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8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10"/>
        <v/>
      </c>
      <c r="L95" s="9" t="str">
        <f t="shared" si="12"/>
        <v/>
      </c>
      <c r="M95" s="9" t="str">
        <f t="shared" si="11"/>
        <v/>
      </c>
      <c r="O95" s="88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8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10"/>
        <v/>
      </c>
      <c r="L96" s="9" t="str">
        <f t="shared" si="12"/>
        <v/>
      </c>
      <c r="M96" s="9" t="str">
        <f t="shared" si="11"/>
        <v/>
      </c>
      <c r="O96" s="88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10"/>
        <v/>
      </c>
      <c r="L97" s="9" t="str">
        <f t="shared" si="12"/>
        <v/>
      </c>
      <c r="M97" s="9" t="str">
        <f t="shared" si="11"/>
        <v/>
      </c>
      <c r="O97" s="88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10"/>
        <v/>
      </c>
      <c r="L98" s="9" t="str">
        <f t="shared" si="12"/>
        <v/>
      </c>
      <c r="M98" s="9" t="str">
        <f t="shared" si="11"/>
        <v/>
      </c>
      <c r="O98" s="88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10"/>
        <v/>
      </c>
      <c r="L99" s="9" t="str">
        <f t="shared" si="12"/>
        <v/>
      </c>
      <c r="M99" s="9" t="str">
        <f t="shared" si="11"/>
        <v/>
      </c>
      <c r="O99" s="88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10"/>
        <v/>
      </c>
      <c r="L100" s="9" t="str">
        <f t="shared" si="12"/>
        <v/>
      </c>
      <c r="M100" s="9" t="str">
        <f t="shared" si="11"/>
        <v/>
      </c>
      <c r="O100" s="88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10"/>
        <v/>
      </c>
      <c r="L101" s="9" t="str">
        <f t="shared" si="12"/>
        <v/>
      </c>
      <c r="M101" s="9" t="str">
        <f t="shared" si="11"/>
        <v/>
      </c>
      <c r="O101" s="88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10"/>
        <v/>
      </c>
      <c r="L102" s="9" t="str">
        <f t="shared" si="12"/>
        <v/>
      </c>
      <c r="M102" s="9" t="str">
        <f t="shared" si="11"/>
        <v/>
      </c>
      <c r="O102" s="88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10"/>
        <v/>
      </c>
      <c r="L103" s="9" t="str">
        <f t="shared" si="12"/>
        <v/>
      </c>
      <c r="M103" s="9" t="str">
        <f t="shared" si="11"/>
        <v/>
      </c>
      <c r="O103" s="88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10"/>
        <v/>
      </c>
      <c r="L104" s="9" t="str">
        <f t="shared" si="12"/>
        <v/>
      </c>
      <c r="M104" s="9" t="str">
        <f t="shared" si="11"/>
        <v/>
      </c>
      <c r="O104" s="88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10"/>
        <v/>
      </c>
      <c r="L105" s="9" t="str">
        <f t="shared" si="12"/>
        <v/>
      </c>
      <c r="M105" s="9" t="str">
        <f t="shared" si="11"/>
        <v/>
      </c>
      <c r="O105" s="88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customWidth="1"/>
    <col min="4" max="4" width="7.6640625" style="47" customWidth="1"/>
    <col min="5" max="5" width="2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40" t="s">
        <v>90</v>
      </c>
      <c r="B1" s="140"/>
      <c r="C1" s="140"/>
      <c r="D1" s="140"/>
      <c r="E1" s="140"/>
      <c r="F1" s="140"/>
      <c r="G1" s="140"/>
      <c r="H1" s="143" t="s">
        <v>99</v>
      </c>
      <c r="I1" s="143"/>
      <c r="J1" s="143"/>
      <c r="K1" s="3" t="s">
        <v>32</v>
      </c>
      <c r="L1" s="3" t="s">
        <v>30</v>
      </c>
      <c r="M1" s="3" t="s">
        <v>31</v>
      </c>
      <c r="O1" s="4" t="s">
        <v>33</v>
      </c>
    </row>
    <row r="2" spans="1:15" ht="15.75" customHeight="1" x14ac:dyDescent="0.3">
      <c r="A2" s="53">
        <v>46184</v>
      </c>
      <c r="B2" s="54">
        <v>0.66666666666666663</v>
      </c>
      <c r="C2" s="55" t="s">
        <v>13</v>
      </c>
      <c r="D2" s="46">
        <v>2</v>
      </c>
      <c r="E2" s="46" t="s">
        <v>1</v>
      </c>
      <c r="F2" s="46">
        <v>0</v>
      </c>
      <c r="G2" s="55" t="s">
        <v>88</v>
      </c>
      <c r="H2" s="143"/>
      <c r="I2" s="143"/>
      <c r="J2" s="143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</row>
    <row r="3" spans="1:15" ht="15.75" customHeight="1" x14ac:dyDescent="0.3">
      <c r="A3" s="53">
        <v>46184</v>
      </c>
      <c r="B3" s="54">
        <v>0.95833333333333337</v>
      </c>
      <c r="C3" s="55" t="s">
        <v>15</v>
      </c>
      <c r="D3" s="46">
        <v>1</v>
      </c>
      <c r="E3" s="46" t="s">
        <v>1</v>
      </c>
      <c r="F3" s="46">
        <v>1</v>
      </c>
      <c r="G3" s="55" t="s">
        <v>111</v>
      </c>
      <c r="H3" s="143"/>
      <c r="I3" s="143"/>
      <c r="J3" s="143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53">
        <v>46185</v>
      </c>
      <c r="B4" s="54">
        <v>0.66666666666666663</v>
      </c>
      <c r="C4" s="55" t="s">
        <v>105</v>
      </c>
      <c r="D4" s="46">
        <v>2</v>
      </c>
      <c r="E4" s="46" t="s">
        <v>1</v>
      </c>
      <c r="F4" s="46">
        <v>1</v>
      </c>
      <c r="G4" s="55" t="s">
        <v>112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53">
        <v>46185</v>
      </c>
      <c r="B5" s="54">
        <v>0.91666666666666663</v>
      </c>
      <c r="C5" s="55" t="s">
        <v>104</v>
      </c>
      <c r="D5" s="46">
        <v>1</v>
      </c>
      <c r="E5" s="46" t="s">
        <v>1</v>
      </c>
      <c r="F5" s="46">
        <v>1</v>
      </c>
      <c r="G5" s="55" t="s">
        <v>115</v>
      </c>
      <c r="I5" s="18"/>
      <c r="K5" s="8" t="str">
        <f t="shared" si="3"/>
        <v>EMPATE</v>
      </c>
      <c r="L5" s="9">
        <f t="shared" si="4"/>
        <v>1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</row>
    <row r="6" spans="1:15" ht="15.75" customHeight="1" x14ac:dyDescent="0.3">
      <c r="A6" s="53">
        <v>46186</v>
      </c>
      <c r="B6" s="54">
        <v>0.66666666666666663</v>
      </c>
      <c r="C6" s="55" t="s">
        <v>97</v>
      </c>
      <c r="D6" s="46">
        <v>2</v>
      </c>
      <c r="E6" s="46" t="s">
        <v>1</v>
      </c>
      <c r="F6" s="46">
        <v>0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3"/>
        <v>Catar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53">
        <v>46186</v>
      </c>
      <c r="B7" s="54">
        <v>0.79166666666666663</v>
      </c>
      <c r="C7" s="55" t="s">
        <v>11</v>
      </c>
      <c r="D7" s="46">
        <v>2</v>
      </c>
      <c r="E7" s="46" t="s">
        <v>1</v>
      </c>
      <c r="F7" s="46">
        <v>1</v>
      </c>
      <c r="G7" s="55" t="s">
        <v>4</v>
      </c>
      <c r="H7" s="15">
        <v>9</v>
      </c>
      <c r="I7" s="15">
        <f>COUNTIF($O$2:$O$105,9)</f>
        <v>6</v>
      </c>
      <c r="J7" s="15">
        <f>H7*I7</f>
        <v>54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53">
        <v>46186</v>
      </c>
      <c r="B8" s="54">
        <v>0.91666666666666663</v>
      </c>
      <c r="C8" s="55" t="s">
        <v>113</v>
      </c>
      <c r="D8" s="46">
        <v>3</v>
      </c>
      <c r="E8" s="46" t="s">
        <v>1</v>
      </c>
      <c r="F8" s="46">
        <v>0</v>
      </c>
      <c r="G8" s="55" t="s">
        <v>114</v>
      </c>
      <c r="H8" s="15">
        <v>6</v>
      </c>
      <c r="I8" s="15">
        <f>COUNTIF($O$2:$O$105,6)</f>
        <v>3</v>
      </c>
      <c r="J8" s="15">
        <f t="shared" ref="J8:J11" si="6">H8*I8</f>
        <v>18</v>
      </c>
      <c r="K8" s="8" t="str">
        <f t="shared" si="3"/>
        <v>Haiti</v>
      </c>
      <c r="L8" s="9">
        <f t="shared" si="4"/>
        <v>3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</row>
    <row r="9" spans="1:15" ht="15.75" customHeight="1" x14ac:dyDescent="0.3">
      <c r="A9" s="53">
        <v>46187</v>
      </c>
      <c r="B9" s="54">
        <v>4.1666666666666664E-2</v>
      </c>
      <c r="C9" s="55" t="s">
        <v>8</v>
      </c>
      <c r="D9" s="46">
        <v>1</v>
      </c>
      <c r="E9" s="46" t="s">
        <v>1</v>
      </c>
      <c r="F9" s="46">
        <v>1</v>
      </c>
      <c r="G9" s="55" t="s">
        <v>116</v>
      </c>
      <c r="H9" s="15">
        <v>4</v>
      </c>
      <c r="I9" s="15">
        <f>COUNTIF($O$2:$O$105,4)</f>
        <v>15</v>
      </c>
      <c r="J9" s="15">
        <f t="shared" si="6"/>
        <v>60</v>
      </c>
      <c r="K9" s="8" t="str">
        <f t="shared" si="3"/>
        <v>EMPATE</v>
      </c>
      <c r="L9" s="9">
        <f t="shared" si="4"/>
        <v>1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53">
        <v>46187</v>
      </c>
      <c r="B10" s="54">
        <v>0.58333333333333337</v>
      </c>
      <c r="C10" s="55" t="s">
        <v>12</v>
      </c>
      <c r="D10" s="46">
        <v>4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15</v>
      </c>
      <c r="J10" s="15">
        <f t="shared" si="6"/>
        <v>45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53">
        <v>46187</v>
      </c>
      <c r="B11" s="54">
        <v>0.70833333333333337</v>
      </c>
      <c r="C11" s="55" t="s">
        <v>78</v>
      </c>
      <c r="D11" s="46">
        <v>2</v>
      </c>
      <c r="E11" s="46" t="s">
        <v>1</v>
      </c>
      <c r="F11" s="46">
        <v>1</v>
      </c>
      <c r="G11" s="55" t="s">
        <v>19</v>
      </c>
      <c r="H11" s="15">
        <v>0</v>
      </c>
      <c r="I11" s="15">
        <f>COUNTIF($O$2:$O$105,0)</f>
        <v>33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" x14ac:dyDescent="0.35">
      <c r="A12" s="53">
        <v>46187</v>
      </c>
      <c r="B12" s="54">
        <v>0.83333333333333337</v>
      </c>
      <c r="C12" s="55" t="s">
        <v>118</v>
      </c>
      <c r="D12" s="46">
        <v>1</v>
      </c>
      <c r="E12" s="46" t="s">
        <v>1</v>
      </c>
      <c r="F12" s="46">
        <v>1</v>
      </c>
      <c r="G12" s="55" t="s">
        <v>102</v>
      </c>
      <c r="H12" s="15"/>
      <c r="I12" s="16" t="s">
        <v>46</v>
      </c>
      <c r="J12" s="17">
        <f>SUM(J7:J11)</f>
        <v>177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53">
        <v>46187</v>
      </c>
      <c r="B13" s="54">
        <v>0.95833333333333337</v>
      </c>
      <c r="C13" s="55" t="s">
        <v>14</v>
      </c>
      <c r="D13" s="46">
        <v>2</v>
      </c>
      <c r="E13" s="46" t="s">
        <v>1</v>
      </c>
      <c r="F13" s="46">
        <v>0</v>
      </c>
      <c r="G13" s="55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3">
      <c r="A14" s="53">
        <v>46188</v>
      </c>
      <c r="B14" s="54">
        <v>0.54166666666666663</v>
      </c>
      <c r="C14" s="55" t="s">
        <v>6</v>
      </c>
      <c r="D14" s="46">
        <v>4</v>
      </c>
      <c r="E14" s="46" t="s">
        <v>1</v>
      </c>
      <c r="F14" s="46">
        <v>0</v>
      </c>
      <c r="G14" s="55" t="s">
        <v>121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53">
        <v>46188</v>
      </c>
      <c r="B15" s="54">
        <v>0.66666666666666663</v>
      </c>
      <c r="C15" s="55" t="s">
        <v>16</v>
      </c>
      <c r="D15" s="46">
        <v>2</v>
      </c>
      <c r="E15" s="46" t="s">
        <v>1</v>
      </c>
      <c r="F15" s="46">
        <v>0</v>
      </c>
      <c r="G15" s="55" t="s">
        <v>119</v>
      </c>
      <c r="K15" s="8" t="str">
        <f t="shared" si="3"/>
        <v>Bélgica</v>
      </c>
      <c r="L15" s="9">
        <f t="shared" si="4"/>
        <v>2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53">
        <v>46188</v>
      </c>
      <c r="B16" s="54">
        <v>0.79166666666666663</v>
      </c>
      <c r="C16" s="55" t="s">
        <v>2</v>
      </c>
      <c r="D16" s="46">
        <v>2</v>
      </c>
      <c r="E16" s="46" t="s">
        <v>1</v>
      </c>
      <c r="F16" s="46">
        <v>0</v>
      </c>
      <c r="G16" s="55" t="s">
        <v>3</v>
      </c>
      <c r="K16" s="8" t="str">
        <f t="shared" si="3"/>
        <v>Arábia Saudita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53">
        <v>46188</v>
      </c>
      <c r="B17" s="54">
        <v>0.91666666666666663</v>
      </c>
      <c r="C17" s="55" t="s">
        <v>103</v>
      </c>
      <c r="D17" s="46">
        <v>2</v>
      </c>
      <c r="E17" s="46" t="s">
        <v>1</v>
      </c>
      <c r="F17" s="46">
        <v>1</v>
      </c>
      <c r="G17" s="55" t="s">
        <v>120</v>
      </c>
      <c r="K17" s="8" t="str">
        <f t="shared" si="3"/>
        <v>Irã</v>
      </c>
      <c r="L17" s="9">
        <f t="shared" si="4"/>
        <v>2</v>
      </c>
      <c r="M17" s="9">
        <f t="shared" si="5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3">
      <c r="A18" s="53">
        <v>46189</v>
      </c>
      <c r="B18" s="54">
        <v>0.66666666666666663</v>
      </c>
      <c r="C18" s="55" t="s">
        <v>7</v>
      </c>
      <c r="D18" s="46">
        <v>2</v>
      </c>
      <c r="E18" s="46" t="s">
        <v>1</v>
      </c>
      <c r="F18" s="46">
        <v>1</v>
      </c>
      <c r="G18" s="55" t="s">
        <v>20</v>
      </c>
      <c r="K18" s="8" t="str">
        <f t="shared" si="3"/>
        <v>França</v>
      </c>
      <c r="L18" s="9">
        <f t="shared" si="4"/>
        <v>2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1" x14ac:dyDescent="0.3">
      <c r="A19" s="53">
        <v>46189</v>
      </c>
      <c r="B19" s="54">
        <v>0.79166666666666663</v>
      </c>
      <c r="C19" s="55" t="s">
        <v>122</v>
      </c>
      <c r="D19" s="46">
        <v>3</v>
      </c>
      <c r="E19" s="46" t="s">
        <v>1</v>
      </c>
      <c r="F19" s="46">
        <v>0</v>
      </c>
      <c r="G19" s="55" t="s">
        <v>123</v>
      </c>
      <c r="K19" s="8" t="str">
        <f t="shared" si="3"/>
        <v>Iraque</v>
      </c>
      <c r="L19" s="9">
        <f t="shared" si="4"/>
        <v>3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0</v>
      </c>
    </row>
    <row r="20" spans="1:21" x14ac:dyDescent="0.3">
      <c r="A20" s="53">
        <v>46189</v>
      </c>
      <c r="B20" s="54">
        <v>0.91666666666666663</v>
      </c>
      <c r="C20" s="55" t="s">
        <v>9</v>
      </c>
      <c r="D20" s="46">
        <v>3</v>
      </c>
      <c r="E20" s="46" t="s">
        <v>1</v>
      </c>
      <c r="F20" s="46">
        <v>0</v>
      </c>
      <c r="G20" s="55" t="s">
        <v>124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1" x14ac:dyDescent="0.3">
      <c r="A21" s="53">
        <v>46190</v>
      </c>
      <c r="B21" s="54">
        <v>4.1666666666666664E-2</v>
      </c>
      <c r="C21" s="55" t="s">
        <v>125</v>
      </c>
      <c r="D21" s="46">
        <v>2</v>
      </c>
      <c r="E21" s="46" t="s">
        <v>1</v>
      </c>
      <c r="F21" s="46">
        <v>0</v>
      </c>
      <c r="G21" s="55" t="s">
        <v>126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3">
      <c r="A22" s="53">
        <v>46190</v>
      </c>
      <c r="B22" s="54">
        <v>0.58333333333333337</v>
      </c>
      <c r="C22" s="55" t="s">
        <v>5</v>
      </c>
      <c r="D22" s="46">
        <v>3</v>
      </c>
      <c r="E22" s="46" t="s">
        <v>1</v>
      </c>
      <c r="F22" s="46">
        <v>0</v>
      </c>
      <c r="G22" s="55" t="s">
        <v>127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53">
        <v>46190</v>
      </c>
      <c r="B23" s="54">
        <v>0.70833333333333337</v>
      </c>
      <c r="C23" s="55" t="s">
        <v>18</v>
      </c>
      <c r="D23" s="46">
        <v>2</v>
      </c>
      <c r="E23" s="46" t="s">
        <v>1</v>
      </c>
      <c r="F23" s="46">
        <v>1</v>
      </c>
      <c r="G23" s="55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</row>
    <row r="24" spans="1:21" x14ac:dyDescent="0.3">
      <c r="A24" s="53">
        <v>46190</v>
      </c>
      <c r="B24" s="54">
        <v>0.83333333333333337</v>
      </c>
      <c r="C24" s="55" t="s">
        <v>106</v>
      </c>
      <c r="D24" s="46">
        <v>2</v>
      </c>
      <c r="E24" s="46" t="s">
        <v>1</v>
      </c>
      <c r="F24" s="46">
        <v>1</v>
      </c>
      <c r="G24" s="55" t="s">
        <v>130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1" x14ac:dyDescent="0.3">
      <c r="A25" s="53">
        <v>46190</v>
      </c>
      <c r="B25" s="54">
        <v>0.95833333333333337</v>
      </c>
      <c r="C25" s="55" t="s">
        <v>128</v>
      </c>
      <c r="D25" s="46">
        <v>2</v>
      </c>
      <c r="E25" s="46" t="s">
        <v>1</v>
      </c>
      <c r="F25" s="46">
        <v>0</v>
      </c>
      <c r="G25" s="55" t="s">
        <v>129</v>
      </c>
      <c r="K25" s="8" t="str">
        <f t="shared" si="3"/>
        <v>Uzbequistão</v>
      </c>
      <c r="L25" s="9">
        <f t="shared" si="4"/>
        <v>2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0</v>
      </c>
    </row>
    <row r="26" spans="1:21" x14ac:dyDescent="0.3">
      <c r="A26" s="100">
        <v>46191</v>
      </c>
      <c r="B26" s="101">
        <v>0.54166666666666663</v>
      </c>
      <c r="C26" s="102" t="s">
        <v>111</v>
      </c>
      <c r="D26" s="103">
        <v>3</v>
      </c>
      <c r="E26" s="103" t="s">
        <v>1</v>
      </c>
      <c r="F26" s="103">
        <v>0</v>
      </c>
      <c r="G26" s="102" t="s">
        <v>88</v>
      </c>
      <c r="K26" s="8" t="str">
        <f t="shared" si="3"/>
        <v>República Tcheca</v>
      </c>
      <c r="L26" s="9">
        <f t="shared" si="4"/>
        <v>3</v>
      </c>
      <c r="M26" s="9">
        <f t="shared" si="5"/>
        <v>0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86"/>
      <c r="R26" s="48"/>
      <c r="S26" s="48"/>
      <c r="T26" s="48"/>
      <c r="U26" s="86"/>
    </row>
    <row r="27" spans="1:21" x14ac:dyDescent="0.3">
      <c r="A27" s="100">
        <v>46191</v>
      </c>
      <c r="B27" s="101">
        <v>0.66666666666666663</v>
      </c>
      <c r="C27" s="102" t="s">
        <v>72</v>
      </c>
      <c r="D27" s="103">
        <v>2</v>
      </c>
      <c r="E27" s="103" t="s">
        <v>1</v>
      </c>
      <c r="F27" s="103">
        <v>2</v>
      </c>
      <c r="G27" s="102" t="s">
        <v>112</v>
      </c>
      <c r="K27" s="8" t="str">
        <f t="shared" si="3"/>
        <v>EMPATE</v>
      </c>
      <c r="L27" s="9">
        <f t="shared" si="4"/>
        <v>2</v>
      </c>
      <c r="M27" s="9">
        <f t="shared" si="5"/>
        <v>2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86"/>
      <c r="R27" s="48"/>
      <c r="S27" s="48"/>
      <c r="T27" s="48"/>
      <c r="U27" s="86"/>
    </row>
    <row r="28" spans="1:21" x14ac:dyDescent="0.3">
      <c r="A28" s="100">
        <v>46191</v>
      </c>
      <c r="B28" s="101">
        <v>0.79166666666666663</v>
      </c>
      <c r="C28" s="102" t="s">
        <v>105</v>
      </c>
      <c r="D28" s="103">
        <v>3</v>
      </c>
      <c r="E28" s="103" t="s">
        <v>1</v>
      </c>
      <c r="F28" s="103">
        <v>1</v>
      </c>
      <c r="G28" s="102" t="s">
        <v>97</v>
      </c>
      <c r="K28" s="8" t="str">
        <f t="shared" si="3"/>
        <v>Canadá</v>
      </c>
      <c r="L28" s="9">
        <f t="shared" si="4"/>
        <v>3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Q28" s="86"/>
      <c r="R28" s="48"/>
      <c r="S28" s="48"/>
      <c r="T28" s="48"/>
      <c r="U28" s="86"/>
    </row>
    <row r="29" spans="1:21" x14ac:dyDescent="0.3">
      <c r="A29" s="100">
        <v>46191</v>
      </c>
      <c r="B29" s="101">
        <v>0.91666666666666663</v>
      </c>
      <c r="C29" s="102" t="s">
        <v>13</v>
      </c>
      <c r="D29" s="103">
        <v>2</v>
      </c>
      <c r="E29" s="103" t="s">
        <v>1</v>
      </c>
      <c r="F29" s="103">
        <v>3</v>
      </c>
      <c r="G29" s="102" t="s">
        <v>15</v>
      </c>
      <c r="K29" s="8" t="str">
        <f t="shared" si="3"/>
        <v>Coréia do Sul</v>
      </c>
      <c r="L29" s="9">
        <f t="shared" si="4"/>
        <v>3</v>
      </c>
      <c r="M29" s="9">
        <f t="shared" si="5"/>
        <v>2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Q29" s="86"/>
      <c r="R29" s="48"/>
      <c r="S29" s="48"/>
      <c r="T29" s="48"/>
      <c r="U29" s="86"/>
    </row>
    <row r="30" spans="1:21" x14ac:dyDescent="0.3">
      <c r="A30" s="100">
        <v>46192</v>
      </c>
      <c r="B30" s="101">
        <v>0.66666666666666663</v>
      </c>
      <c r="C30" s="102" t="s">
        <v>104</v>
      </c>
      <c r="D30" s="103">
        <v>4</v>
      </c>
      <c r="E30" s="103" t="s">
        <v>1</v>
      </c>
      <c r="F30" s="103">
        <v>2</v>
      </c>
      <c r="G30" s="102" t="s">
        <v>8</v>
      </c>
      <c r="K30" s="8" t="str">
        <f t="shared" si="3"/>
        <v>Estados Unidos</v>
      </c>
      <c r="L30" s="9">
        <f t="shared" si="4"/>
        <v>4</v>
      </c>
      <c r="M30" s="9">
        <f t="shared" si="5"/>
        <v>2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3</v>
      </c>
      <c r="Q30" s="86"/>
      <c r="R30" s="48"/>
      <c r="S30" s="48"/>
      <c r="T30" s="48"/>
      <c r="U30" s="86"/>
    </row>
    <row r="31" spans="1:21" x14ac:dyDescent="0.3">
      <c r="A31" s="100">
        <v>46192</v>
      </c>
      <c r="B31" s="101">
        <v>0.79166666666666663</v>
      </c>
      <c r="C31" s="102" t="s">
        <v>114</v>
      </c>
      <c r="D31" s="103">
        <v>1</v>
      </c>
      <c r="E31" s="103" t="s">
        <v>1</v>
      </c>
      <c r="F31" s="103">
        <v>3</v>
      </c>
      <c r="G31" s="102" t="s">
        <v>4</v>
      </c>
      <c r="K31" s="8" t="str">
        <f t="shared" si="3"/>
        <v>Marrocos</v>
      </c>
      <c r="L31" s="9">
        <f t="shared" si="4"/>
        <v>3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Q31" s="86"/>
      <c r="R31" s="48"/>
      <c r="S31" s="48"/>
      <c r="T31" s="48"/>
      <c r="U31" s="86"/>
    </row>
    <row r="32" spans="1:21" x14ac:dyDescent="0.3">
      <c r="A32" s="100">
        <v>46192</v>
      </c>
      <c r="B32" s="101">
        <v>0.89583333333333337</v>
      </c>
      <c r="C32" s="102" t="s">
        <v>11</v>
      </c>
      <c r="D32" s="103">
        <v>4</v>
      </c>
      <c r="E32" s="103" t="s">
        <v>1</v>
      </c>
      <c r="F32" s="103">
        <v>0</v>
      </c>
      <c r="G32" s="102" t="s">
        <v>113</v>
      </c>
      <c r="K32" s="8" t="str">
        <f t="shared" si="3"/>
        <v>Brasil</v>
      </c>
      <c r="L32" s="9">
        <f t="shared" si="4"/>
        <v>4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Q32" s="86"/>
      <c r="R32" s="48"/>
      <c r="S32" s="48"/>
      <c r="T32" s="48"/>
      <c r="U32" s="86"/>
    </row>
    <row r="33" spans="1:21" x14ac:dyDescent="0.3">
      <c r="A33" s="100">
        <v>46193</v>
      </c>
      <c r="B33" s="101">
        <v>4.1666666666666664E-2</v>
      </c>
      <c r="C33" s="102" t="s">
        <v>116</v>
      </c>
      <c r="D33" s="103">
        <v>0</v>
      </c>
      <c r="E33" s="103" t="s">
        <v>1</v>
      </c>
      <c r="F33" s="103">
        <v>3</v>
      </c>
      <c r="G33" s="102" t="s">
        <v>115</v>
      </c>
      <c r="K33" s="8" t="str">
        <f t="shared" si="3"/>
        <v>Paraguai</v>
      </c>
      <c r="L33" s="9">
        <f t="shared" si="4"/>
        <v>3</v>
      </c>
      <c r="M33" s="9">
        <f t="shared" si="5"/>
        <v>0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4</v>
      </c>
      <c r="Q33" s="86"/>
      <c r="R33" s="48"/>
      <c r="S33" s="48"/>
      <c r="T33" s="48"/>
      <c r="U33" s="86"/>
    </row>
    <row r="34" spans="1:21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1</v>
      </c>
      <c r="G34" s="102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Q34" s="86"/>
      <c r="R34" s="48"/>
      <c r="S34" s="48"/>
      <c r="T34" s="48"/>
      <c r="U34" s="86"/>
    </row>
    <row r="35" spans="1:21" x14ac:dyDescent="0.3">
      <c r="A35" s="100">
        <v>46193</v>
      </c>
      <c r="B35" s="101">
        <v>0.70833333333333337</v>
      </c>
      <c r="C35" s="102" t="s">
        <v>12</v>
      </c>
      <c r="D35" s="103">
        <v>5</v>
      </c>
      <c r="E35" s="103" t="s">
        <v>1</v>
      </c>
      <c r="F35" s="103">
        <v>1</v>
      </c>
      <c r="G35" s="102" t="s">
        <v>118</v>
      </c>
      <c r="K35" s="8" t="str">
        <f t="shared" si="3"/>
        <v>Alemanha</v>
      </c>
      <c r="L35" s="9">
        <f t="shared" si="4"/>
        <v>5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Q35" s="86"/>
      <c r="R35" s="48"/>
      <c r="S35" s="48"/>
      <c r="T35" s="48"/>
      <c r="U35" s="86"/>
    </row>
    <row r="36" spans="1:21" x14ac:dyDescent="0.3">
      <c r="A36" s="100">
        <v>46193</v>
      </c>
      <c r="B36" s="101">
        <v>0.875</v>
      </c>
      <c r="C36" s="102" t="s">
        <v>102</v>
      </c>
      <c r="D36" s="103">
        <v>2</v>
      </c>
      <c r="E36" s="103" t="s">
        <v>1</v>
      </c>
      <c r="F36" s="103">
        <v>0</v>
      </c>
      <c r="G36" s="102" t="s">
        <v>117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86"/>
      <c r="R36" s="48"/>
      <c r="S36" s="48"/>
      <c r="T36" s="48"/>
      <c r="U36" s="86"/>
    </row>
    <row r="37" spans="1:21" x14ac:dyDescent="0.3">
      <c r="A37" s="100">
        <v>46194</v>
      </c>
      <c r="B37" s="101">
        <v>4.1666666666666664E-2</v>
      </c>
      <c r="C37" s="102" t="s">
        <v>17</v>
      </c>
      <c r="D37" s="103">
        <v>1</v>
      </c>
      <c r="E37" s="103" t="s">
        <v>1</v>
      </c>
      <c r="F37" s="103">
        <v>3</v>
      </c>
      <c r="G37" s="102" t="s">
        <v>19</v>
      </c>
      <c r="K37" s="8" t="str">
        <f t="shared" si="3"/>
        <v>Japão</v>
      </c>
      <c r="L37" s="9">
        <f t="shared" si="4"/>
        <v>3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86"/>
      <c r="R37" s="48"/>
      <c r="S37" s="48"/>
      <c r="T37" s="48"/>
      <c r="U37" s="86"/>
    </row>
    <row r="38" spans="1:21" x14ac:dyDescent="0.3">
      <c r="A38" s="100">
        <v>46194</v>
      </c>
      <c r="B38" s="101">
        <v>0.54166666666666663</v>
      </c>
      <c r="C38" s="102" t="s">
        <v>6</v>
      </c>
      <c r="D38" s="103">
        <v>3</v>
      </c>
      <c r="E38" s="103" t="s">
        <v>1</v>
      </c>
      <c r="F38" s="103">
        <v>0</v>
      </c>
      <c r="G38" s="102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86"/>
      <c r="R38" s="48"/>
      <c r="S38" s="48"/>
      <c r="T38" s="48"/>
      <c r="U38" s="86"/>
    </row>
    <row r="39" spans="1:21" x14ac:dyDescent="0.3">
      <c r="A39" s="100">
        <v>46194</v>
      </c>
      <c r="B39" s="101">
        <v>0.66666666666666663</v>
      </c>
      <c r="C39" s="102" t="s">
        <v>16</v>
      </c>
      <c r="D39" s="103">
        <v>2</v>
      </c>
      <c r="E39" s="103" t="s">
        <v>1</v>
      </c>
      <c r="F39" s="103">
        <v>1</v>
      </c>
      <c r="G39" s="102" t="s">
        <v>103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86"/>
      <c r="R39" s="48"/>
      <c r="S39" s="48"/>
      <c r="T39" s="48"/>
      <c r="U39" s="86"/>
    </row>
    <row r="40" spans="1:21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3</v>
      </c>
      <c r="G40" s="102" t="s">
        <v>121</v>
      </c>
      <c r="K40" s="8" t="str">
        <f t="shared" si="3"/>
        <v>Cabo Verde</v>
      </c>
      <c r="L40" s="9">
        <f t="shared" si="4"/>
        <v>3</v>
      </c>
      <c r="M40" s="9">
        <f t="shared" si="5"/>
        <v>2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86"/>
      <c r="R40" s="48"/>
      <c r="S40" s="48"/>
      <c r="T40" s="48"/>
      <c r="U40" s="86"/>
    </row>
    <row r="41" spans="1:21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1</v>
      </c>
      <c r="G41" s="102" t="s">
        <v>119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86"/>
      <c r="R41" s="48"/>
      <c r="S41" s="48"/>
      <c r="T41" s="48"/>
      <c r="U41" s="86"/>
    </row>
    <row r="42" spans="1:21" x14ac:dyDescent="0.3">
      <c r="A42" s="100">
        <v>46195</v>
      </c>
      <c r="B42" s="101">
        <v>0.58333333333333337</v>
      </c>
      <c r="C42" s="102" t="s">
        <v>9</v>
      </c>
      <c r="D42" s="103">
        <v>2</v>
      </c>
      <c r="E42" s="103" t="s">
        <v>1</v>
      </c>
      <c r="F42" s="103">
        <v>0</v>
      </c>
      <c r="G42" s="102" t="s">
        <v>125</v>
      </c>
      <c r="K42" s="8" t="str">
        <f t="shared" si="3"/>
        <v>Argentina</v>
      </c>
      <c r="L42" s="9">
        <f t="shared" si="4"/>
        <v>2</v>
      </c>
      <c r="M42" s="9">
        <f t="shared" si="5"/>
        <v>0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9</v>
      </c>
      <c r="Q42" s="86"/>
      <c r="R42" s="48"/>
      <c r="S42" s="48"/>
      <c r="T42" s="48"/>
      <c r="U42" s="86"/>
    </row>
    <row r="43" spans="1:21" x14ac:dyDescent="0.3">
      <c r="A43" s="100">
        <v>46195</v>
      </c>
      <c r="B43" s="101">
        <v>0.75</v>
      </c>
      <c r="C43" s="102" t="s">
        <v>7</v>
      </c>
      <c r="D43" s="103">
        <v>5</v>
      </c>
      <c r="E43" s="103" t="s">
        <v>1</v>
      </c>
      <c r="F43" s="103">
        <v>0</v>
      </c>
      <c r="G43" s="102" t="s">
        <v>122</v>
      </c>
      <c r="K43" s="8" t="str">
        <f t="shared" si="3"/>
        <v>França</v>
      </c>
      <c r="L43" s="9">
        <f t="shared" si="4"/>
        <v>5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4</v>
      </c>
      <c r="Q43" s="86"/>
      <c r="R43" s="48"/>
      <c r="S43" s="48"/>
      <c r="T43" s="48"/>
      <c r="U43" s="86"/>
    </row>
    <row r="44" spans="1:21" x14ac:dyDescent="0.3">
      <c r="A44" s="100">
        <v>46195</v>
      </c>
      <c r="B44" s="101">
        <v>0.875</v>
      </c>
      <c r="C44" s="102" t="s">
        <v>123</v>
      </c>
      <c r="D44" s="103">
        <v>4</v>
      </c>
      <c r="E44" s="103" t="s">
        <v>1</v>
      </c>
      <c r="F44" s="103">
        <v>1</v>
      </c>
      <c r="G44" s="102" t="s">
        <v>20</v>
      </c>
      <c r="K44" s="8" t="str">
        <f t="shared" si="3"/>
        <v>Noruega</v>
      </c>
      <c r="L44" s="9">
        <f t="shared" si="4"/>
        <v>4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86"/>
      <c r="R44" s="48"/>
      <c r="S44" s="48"/>
      <c r="T44" s="48"/>
      <c r="U44" s="86"/>
    </row>
    <row r="45" spans="1:21" x14ac:dyDescent="0.3">
      <c r="A45" s="100">
        <v>46196</v>
      </c>
      <c r="B45" s="101">
        <v>0</v>
      </c>
      <c r="C45" s="102" t="s">
        <v>126</v>
      </c>
      <c r="D45" s="103">
        <v>2</v>
      </c>
      <c r="E45" s="103" t="s">
        <v>1</v>
      </c>
      <c r="F45" s="103">
        <v>0</v>
      </c>
      <c r="G45" s="102" t="s">
        <v>124</v>
      </c>
      <c r="K45" s="8" t="str">
        <f t="shared" si="3"/>
        <v>Jordânia</v>
      </c>
      <c r="L45" s="9">
        <f t="shared" si="4"/>
        <v>2</v>
      </c>
      <c r="M45" s="9">
        <f t="shared" si="5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0</v>
      </c>
      <c r="Q45" s="86"/>
      <c r="R45" s="48"/>
      <c r="S45" s="48"/>
      <c r="T45" s="48"/>
      <c r="U45" s="86"/>
    </row>
    <row r="46" spans="1:21" ht="15" customHeight="1" x14ac:dyDescent="0.3">
      <c r="A46" s="100">
        <v>46196</v>
      </c>
      <c r="B46" s="101">
        <v>0.58333333333333337</v>
      </c>
      <c r="C46" s="102" t="s">
        <v>5</v>
      </c>
      <c r="D46" s="103">
        <v>3</v>
      </c>
      <c r="E46" s="103" t="s">
        <v>1</v>
      </c>
      <c r="F46" s="103">
        <v>0</v>
      </c>
      <c r="G46" s="102" t="s">
        <v>128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4</v>
      </c>
      <c r="Q46" s="86"/>
      <c r="R46" s="48"/>
      <c r="S46" s="48"/>
      <c r="T46" s="48"/>
      <c r="U46" s="86"/>
    </row>
    <row r="47" spans="1:21" x14ac:dyDescent="0.3">
      <c r="A47" s="100">
        <v>46196</v>
      </c>
      <c r="B47" s="101">
        <v>0.70833333333333337</v>
      </c>
      <c r="C47" s="102" t="s">
        <v>18</v>
      </c>
      <c r="D47" s="103">
        <v>4</v>
      </c>
      <c r="E47" s="103" t="s">
        <v>1</v>
      </c>
      <c r="F47" s="103">
        <v>0</v>
      </c>
      <c r="G47" s="102" t="s">
        <v>106</v>
      </c>
      <c r="K47" s="8" t="str">
        <f t="shared" si="3"/>
        <v>Inglaterra</v>
      </c>
      <c r="L47" s="9">
        <f t="shared" si="4"/>
        <v>4</v>
      </c>
      <c r="M47" s="9">
        <f t="shared" si="5"/>
        <v>0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  <c r="Q47" s="86"/>
      <c r="R47" s="48"/>
      <c r="S47" s="48"/>
      <c r="T47" s="48"/>
      <c r="U47" s="86"/>
    </row>
    <row r="48" spans="1:21" x14ac:dyDescent="0.3">
      <c r="A48" s="100">
        <v>46196</v>
      </c>
      <c r="B48" s="101">
        <v>0.83333333333333337</v>
      </c>
      <c r="C48" s="102" t="s">
        <v>130</v>
      </c>
      <c r="D48" s="103">
        <v>0</v>
      </c>
      <c r="E48" s="103" t="s">
        <v>1</v>
      </c>
      <c r="F48" s="103">
        <v>3</v>
      </c>
      <c r="G48" s="102" t="s">
        <v>10</v>
      </c>
      <c r="K48" s="8" t="str">
        <f t="shared" si="3"/>
        <v>Croácia</v>
      </c>
      <c r="L48" s="9">
        <f t="shared" si="4"/>
        <v>3</v>
      </c>
      <c r="M48" s="9">
        <f t="shared" si="5"/>
        <v>0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4</v>
      </c>
      <c r="Q48" s="86"/>
      <c r="R48" s="48"/>
      <c r="S48" s="48"/>
      <c r="T48" s="48"/>
      <c r="U48" s="86"/>
    </row>
    <row r="49" spans="1:21" x14ac:dyDescent="0.3">
      <c r="A49" s="104">
        <v>46196</v>
      </c>
      <c r="B49" s="101">
        <v>0.95833333333333337</v>
      </c>
      <c r="C49" s="105" t="s">
        <v>129</v>
      </c>
      <c r="D49" s="106">
        <v>3</v>
      </c>
      <c r="E49" s="106" t="s">
        <v>1</v>
      </c>
      <c r="F49" s="106">
        <v>0</v>
      </c>
      <c r="G49" s="105" t="s">
        <v>127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4</v>
      </c>
      <c r="Q49" s="86"/>
      <c r="R49" s="48"/>
      <c r="S49" s="48"/>
      <c r="T49" s="48"/>
      <c r="U49" s="86"/>
    </row>
    <row r="50" spans="1:21" x14ac:dyDescent="0.3">
      <c r="A50" s="56">
        <v>46197</v>
      </c>
      <c r="B50" s="54">
        <v>0.66666666666666663</v>
      </c>
      <c r="C50" s="57" t="s">
        <v>72</v>
      </c>
      <c r="D50" s="58">
        <v>1</v>
      </c>
      <c r="E50" s="58" t="s">
        <v>1</v>
      </c>
      <c r="F50" s="58">
        <v>3</v>
      </c>
      <c r="G50" s="57" t="s">
        <v>105</v>
      </c>
      <c r="K50" s="8" t="str">
        <f t="shared" si="3"/>
        <v>Canadá</v>
      </c>
      <c r="L50" s="9">
        <f t="shared" si="4"/>
        <v>3</v>
      </c>
      <c r="M50" s="9">
        <f t="shared" si="5"/>
        <v>1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0</v>
      </c>
      <c r="Q50" s="86"/>
      <c r="R50" s="48"/>
      <c r="S50" s="48"/>
      <c r="T50" s="48"/>
      <c r="U50" s="86"/>
    </row>
    <row r="51" spans="1:21" x14ac:dyDescent="0.3">
      <c r="A51" s="56">
        <v>46197</v>
      </c>
      <c r="B51" s="54">
        <v>0.66666666666666663</v>
      </c>
      <c r="C51" s="57" t="s">
        <v>112</v>
      </c>
      <c r="D51" s="58">
        <v>2</v>
      </c>
      <c r="E51" s="58" t="s">
        <v>1</v>
      </c>
      <c r="F51" s="58">
        <v>1</v>
      </c>
      <c r="G51" s="57" t="s">
        <v>97</v>
      </c>
      <c r="K51" s="8" t="str">
        <f t="shared" si="3"/>
        <v>Bósnia</v>
      </c>
      <c r="L51" s="9">
        <f t="shared" si="4"/>
        <v>2</v>
      </c>
      <c r="M51" s="9">
        <f t="shared" si="5"/>
        <v>1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4</v>
      </c>
      <c r="Q51" s="86"/>
      <c r="R51" s="48"/>
      <c r="S51" s="48"/>
      <c r="T51" s="48"/>
      <c r="U51" s="86"/>
    </row>
    <row r="52" spans="1:21" x14ac:dyDescent="0.3">
      <c r="A52" s="56">
        <v>46197</v>
      </c>
      <c r="B52" s="54">
        <v>0.79166666666666663</v>
      </c>
      <c r="C52" s="59" t="s">
        <v>4</v>
      </c>
      <c r="D52" s="58">
        <v>3</v>
      </c>
      <c r="E52" s="58" t="s">
        <v>1</v>
      </c>
      <c r="F52" s="58">
        <v>0</v>
      </c>
      <c r="G52" s="59" t="s">
        <v>113</v>
      </c>
      <c r="K52" s="8" t="str">
        <f t="shared" si="3"/>
        <v>Marrocos</v>
      </c>
      <c r="L52" s="9">
        <f t="shared" si="4"/>
        <v>3</v>
      </c>
      <c r="M52" s="9">
        <f t="shared" si="5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</row>
    <row r="53" spans="1:21" x14ac:dyDescent="0.3">
      <c r="A53" s="56">
        <v>46197</v>
      </c>
      <c r="B53" s="54">
        <v>0.79166666666666663</v>
      </c>
      <c r="C53" s="59" t="s">
        <v>114</v>
      </c>
      <c r="D53" s="58">
        <v>0</v>
      </c>
      <c r="E53" s="58" t="s">
        <v>1</v>
      </c>
      <c r="F53" s="58">
        <v>3</v>
      </c>
      <c r="G53" s="59" t="s">
        <v>11</v>
      </c>
      <c r="K53" s="8" t="str">
        <f t="shared" si="3"/>
        <v>Brasil</v>
      </c>
      <c r="L53" s="9">
        <f t="shared" si="4"/>
        <v>3</v>
      </c>
      <c r="M53" s="9">
        <f t="shared" si="5"/>
        <v>0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9</v>
      </c>
      <c r="Q53" s="117"/>
      <c r="R53" s="48"/>
      <c r="S53" s="48"/>
      <c r="T53" s="48"/>
      <c r="U53" s="117"/>
    </row>
    <row r="54" spans="1:21" x14ac:dyDescent="0.3">
      <c r="A54" s="53">
        <v>46197</v>
      </c>
      <c r="B54" s="54">
        <v>0.91666666666666663</v>
      </c>
      <c r="C54" s="55" t="s">
        <v>88</v>
      </c>
      <c r="D54" s="46">
        <v>0</v>
      </c>
      <c r="E54" s="46" t="s">
        <v>1</v>
      </c>
      <c r="F54" s="46">
        <v>4</v>
      </c>
      <c r="G54" s="55" t="s">
        <v>15</v>
      </c>
      <c r="K54" s="8" t="str">
        <f t="shared" si="3"/>
        <v>Coréia do Sul</v>
      </c>
      <c r="L54" s="9">
        <f t="shared" si="4"/>
        <v>4</v>
      </c>
      <c r="M54" s="9">
        <f t="shared" si="5"/>
        <v>0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</row>
    <row r="55" spans="1:21" x14ac:dyDescent="0.3">
      <c r="A55" s="53">
        <v>46197</v>
      </c>
      <c r="B55" s="54">
        <v>0.91666666666666663</v>
      </c>
      <c r="C55" s="55" t="s">
        <v>111</v>
      </c>
      <c r="D55" s="46">
        <v>1</v>
      </c>
      <c r="E55" s="46" t="s">
        <v>1</v>
      </c>
      <c r="F55" s="46">
        <v>2</v>
      </c>
      <c r="G55" s="55" t="s">
        <v>13</v>
      </c>
      <c r="K55" s="8" t="str">
        <f t="shared" si="3"/>
        <v>México</v>
      </c>
      <c r="L55" s="9">
        <f t="shared" si="4"/>
        <v>2</v>
      </c>
      <c r="M55" s="9">
        <f t="shared" si="5"/>
        <v>1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3</v>
      </c>
      <c r="Q55" s="86"/>
      <c r="R55" s="48"/>
      <c r="S55" s="48"/>
      <c r="T55" s="48"/>
      <c r="U55" s="86"/>
    </row>
    <row r="56" spans="1:21" x14ac:dyDescent="0.3">
      <c r="A56" s="53">
        <v>46198</v>
      </c>
      <c r="B56" s="54">
        <v>0.70833333333333337</v>
      </c>
      <c r="C56" s="45" t="s">
        <v>102</v>
      </c>
      <c r="D56" s="46">
        <v>0</v>
      </c>
      <c r="E56" s="46" t="s">
        <v>1</v>
      </c>
      <c r="F56" s="46">
        <v>2</v>
      </c>
      <c r="G56" s="45" t="s">
        <v>12</v>
      </c>
      <c r="K56" s="8" t="str">
        <f t="shared" si="3"/>
        <v>Alemanha</v>
      </c>
      <c r="L56" s="9">
        <f t="shared" si="4"/>
        <v>2</v>
      </c>
      <c r="M56" s="9">
        <f t="shared" si="5"/>
        <v>0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</row>
    <row r="57" spans="1:21" x14ac:dyDescent="0.3">
      <c r="A57" s="53">
        <v>46198</v>
      </c>
      <c r="B57" s="54">
        <v>0.70833333333333337</v>
      </c>
      <c r="C57" s="45" t="s">
        <v>117</v>
      </c>
      <c r="D57" s="46">
        <v>0</v>
      </c>
      <c r="E57" s="46" t="s">
        <v>1</v>
      </c>
      <c r="F57" s="46">
        <v>2</v>
      </c>
      <c r="G57" s="45" t="s">
        <v>118</v>
      </c>
      <c r="K57" s="8" t="str">
        <f t="shared" si="3"/>
        <v>Costa do Marfim</v>
      </c>
      <c r="L57" s="9">
        <f t="shared" si="4"/>
        <v>2</v>
      </c>
      <c r="M57" s="9">
        <f t="shared" si="5"/>
        <v>0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9</v>
      </c>
      <c r="Q57" s="117"/>
      <c r="R57" s="48"/>
      <c r="S57" s="48"/>
      <c r="T57" s="48"/>
      <c r="U57" s="117"/>
    </row>
    <row r="58" spans="1:21" x14ac:dyDescent="0.3">
      <c r="A58" s="53">
        <v>46198</v>
      </c>
      <c r="B58" s="54">
        <v>0.83333333333333337</v>
      </c>
      <c r="C58" s="45" t="s">
        <v>17</v>
      </c>
      <c r="D58" s="46">
        <v>1</v>
      </c>
      <c r="E58" s="46" t="s">
        <v>1</v>
      </c>
      <c r="F58" s="46">
        <v>3</v>
      </c>
      <c r="G58" s="45" t="s">
        <v>78</v>
      </c>
      <c r="K58" s="8" t="str">
        <f t="shared" si="3"/>
        <v>Holanda</v>
      </c>
      <c r="L58" s="9">
        <f t="shared" si="4"/>
        <v>3</v>
      </c>
      <c r="M58" s="9">
        <f t="shared" si="5"/>
        <v>1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9</v>
      </c>
      <c r="Q58" s="117"/>
      <c r="R58" s="48"/>
      <c r="S58" s="48"/>
      <c r="T58" s="48"/>
      <c r="U58" s="117"/>
    </row>
    <row r="59" spans="1:21" x14ac:dyDescent="0.3">
      <c r="A59" s="53">
        <v>46198</v>
      </c>
      <c r="B59" s="54">
        <v>0.83333333333333337</v>
      </c>
      <c r="C59" s="45" t="s">
        <v>19</v>
      </c>
      <c r="D59" s="46">
        <v>2</v>
      </c>
      <c r="E59" s="46" t="s">
        <v>1</v>
      </c>
      <c r="F59" s="46">
        <v>2</v>
      </c>
      <c r="G59" s="45" t="s">
        <v>14</v>
      </c>
      <c r="K59" s="8" t="str">
        <f t="shared" si="3"/>
        <v>EMPATE</v>
      </c>
      <c r="L59" s="9">
        <f t="shared" si="4"/>
        <v>2</v>
      </c>
      <c r="M59" s="9">
        <f t="shared" si="5"/>
        <v>2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6</v>
      </c>
      <c r="Q59" s="117"/>
      <c r="R59" s="48"/>
      <c r="S59" s="48"/>
      <c r="T59" s="48"/>
      <c r="U59" s="117"/>
    </row>
    <row r="60" spans="1:21" x14ac:dyDescent="0.3">
      <c r="A60" s="53">
        <v>46198</v>
      </c>
      <c r="B60" s="54">
        <v>0.95833333333333337</v>
      </c>
      <c r="C60" s="45" t="s">
        <v>116</v>
      </c>
      <c r="D60" s="46">
        <v>0</v>
      </c>
      <c r="E60" s="46" t="s">
        <v>1</v>
      </c>
      <c r="F60" s="46">
        <v>3</v>
      </c>
      <c r="G60" s="45" t="s">
        <v>104</v>
      </c>
      <c r="K60" s="8" t="str">
        <f t="shared" si="3"/>
        <v>Estados Unidos</v>
      </c>
      <c r="L60" s="9">
        <f t="shared" si="4"/>
        <v>3</v>
      </c>
      <c r="M60" s="9">
        <f t="shared" si="5"/>
        <v>0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</row>
    <row r="61" spans="1:21" x14ac:dyDescent="0.3">
      <c r="A61" s="53">
        <v>46198</v>
      </c>
      <c r="B61" s="54">
        <v>0.95833333333333337</v>
      </c>
      <c r="C61" s="45" t="s">
        <v>115</v>
      </c>
      <c r="D61" s="46">
        <v>2</v>
      </c>
      <c r="E61" s="46" t="s">
        <v>1</v>
      </c>
      <c r="F61" s="46">
        <v>1</v>
      </c>
      <c r="G61" s="45" t="s">
        <v>8</v>
      </c>
      <c r="K61" s="8" t="str">
        <f t="shared" si="3"/>
        <v>Paraguai</v>
      </c>
      <c r="L61" s="9">
        <f t="shared" si="4"/>
        <v>2</v>
      </c>
      <c r="M61" s="9">
        <f t="shared" si="5"/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0</v>
      </c>
      <c r="Q61" s="117"/>
      <c r="R61" s="48"/>
      <c r="S61" s="48"/>
      <c r="T61" s="48"/>
      <c r="U61" s="117"/>
    </row>
    <row r="62" spans="1:21" x14ac:dyDescent="0.3">
      <c r="A62" s="53">
        <v>46199</v>
      </c>
      <c r="B62" s="54">
        <v>0.66666666666666663</v>
      </c>
      <c r="C62" s="45" t="s">
        <v>20</v>
      </c>
      <c r="D62" s="46">
        <v>2</v>
      </c>
      <c r="E62" s="46" t="s">
        <v>1</v>
      </c>
      <c r="F62" s="46">
        <v>0</v>
      </c>
      <c r="G62" s="45" t="s">
        <v>122</v>
      </c>
      <c r="K62" s="8" t="str">
        <f t="shared" si="3"/>
        <v>Senegal</v>
      </c>
      <c r="L62" s="9">
        <f t="shared" si="4"/>
        <v>2</v>
      </c>
      <c r="M62" s="9">
        <f t="shared" si="5"/>
        <v>0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4</v>
      </c>
      <c r="Q62" s="117"/>
      <c r="R62" s="48"/>
      <c r="S62" s="48"/>
      <c r="T62" s="48"/>
      <c r="U62" s="117"/>
    </row>
    <row r="63" spans="1:21" x14ac:dyDescent="0.3">
      <c r="A63" s="53">
        <v>46199</v>
      </c>
      <c r="B63" s="54">
        <v>0.66666666666666663</v>
      </c>
      <c r="C63" s="45" t="s">
        <v>123</v>
      </c>
      <c r="D63" s="46">
        <v>3</v>
      </c>
      <c r="E63" s="46" t="s">
        <v>1</v>
      </c>
      <c r="F63" s="46">
        <v>3</v>
      </c>
      <c r="G63" s="45" t="s">
        <v>7</v>
      </c>
      <c r="K63" s="8" t="str">
        <f t="shared" si="3"/>
        <v>EMPATE</v>
      </c>
      <c r="L63" s="9">
        <f t="shared" si="4"/>
        <v>3</v>
      </c>
      <c r="M63" s="9">
        <f t="shared" si="5"/>
        <v>3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0</v>
      </c>
      <c r="Q63" s="117"/>
      <c r="R63" s="48"/>
      <c r="S63" s="48"/>
      <c r="T63" s="48"/>
      <c r="U63" s="117"/>
    </row>
    <row r="64" spans="1:21" x14ac:dyDescent="0.3">
      <c r="A64" s="53">
        <v>46199</v>
      </c>
      <c r="B64" s="54">
        <v>0.875</v>
      </c>
      <c r="C64" s="45" t="s">
        <v>121</v>
      </c>
      <c r="D64" s="46">
        <v>2</v>
      </c>
      <c r="E64" s="46" t="s">
        <v>1</v>
      </c>
      <c r="F64" s="46">
        <v>1</v>
      </c>
      <c r="G64" s="45" t="s">
        <v>2</v>
      </c>
      <c r="K64" s="8" t="str">
        <f t="shared" si="3"/>
        <v>Cabo Verde</v>
      </c>
      <c r="L64" s="9">
        <f t="shared" si="4"/>
        <v>2</v>
      </c>
      <c r="M64" s="9">
        <f t="shared" si="5"/>
        <v>1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0</v>
      </c>
      <c r="Q64" s="117"/>
      <c r="R64" s="48"/>
      <c r="S64" s="48"/>
      <c r="T64" s="48"/>
      <c r="U64" s="117"/>
    </row>
    <row r="65" spans="1:26" x14ac:dyDescent="0.3">
      <c r="A65" s="53">
        <v>46199</v>
      </c>
      <c r="B65" s="54">
        <v>0.875</v>
      </c>
      <c r="C65" s="45" t="s">
        <v>3</v>
      </c>
      <c r="D65" s="46">
        <v>2</v>
      </c>
      <c r="E65" s="46" t="s">
        <v>1</v>
      </c>
      <c r="F65" s="46">
        <v>3</v>
      </c>
      <c r="G65" s="45" t="s">
        <v>6</v>
      </c>
      <c r="K65" s="8" t="str">
        <f t="shared" si="3"/>
        <v>Espanha</v>
      </c>
      <c r="L65" s="9">
        <f t="shared" si="4"/>
        <v>3</v>
      </c>
      <c r="M65" s="9">
        <f t="shared" si="5"/>
        <v>2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3</v>
      </c>
      <c r="Q65" s="117"/>
      <c r="R65" s="48"/>
      <c r="S65" s="48"/>
      <c r="T65" s="48"/>
      <c r="U65" s="117"/>
    </row>
    <row r="66" spans="1:26" x14ac:dyDescent="0.3">
      <c r="A66" s="53">
        <v>46200</v>
      </c>
      <c r="B66" s="54">
        <v>0</v>
      </c>
      <c r="C66" s="45" t="s">
        <v>119</v>
      </c>
      <c r="D66" s="46">
        <v>3</v>
      </c>
      <c r="E66" s="46" t="s">
        <v>1</v>
      </c>
      <c r="F66" s="46">
        <v>0</v>
      </c>
      <c r="G66" s="45" t="s">
        <v>103</v>
      </c>
      <c r="K66" s="8" t="str">
        <f t="shared" si="3"/>
        <v>Egito</v>
      </c>
      <c r="L66" s="9">
        <f t="shared" si="4"/>
        <v>3</v>
      </c>
      <c r="M66" s="9">
        <f t="shared" si="5"/>
        <v>0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0</v>
      </c>
      <c r="Q66" s="117"/>
      <c r="R66" s="48"/>
      <c r="S66" s="48"/>
      <c r="T66" s="48"/>
      <c r="U66" s="117"/>
    </row>
    <row r="67" spans="1:26" x14ac:dyDescent="0.3">
      <c r="A67" s="53">
        <v>46200</v>
      </c>
      <c r="B67" s="54">
        <v>0</v>
      </c>
      <c r="C67" s="45" t="s">
        <v>120</v>
      </c>
      <c r="D67" s="46">
        <v>0</v>
      </c>
      <c r="E67" s="46" t="s">
        <v>1</v>
      </c>
      <c r="F67" s="46">
        <v>1</v>
      </c>
      <c r="G67" s="45" t="s">
        <v>16</v>
      </c>
      <c r="K67" s="8" t="str">
        <f t="shared" si="3"/>
        <v>Bélgica</v>
      </c>
      <c r="L67" s="9">
        <f t="shared" si="4"/>
        <v>1</v>
      </c>
      <c r="M67" s="9">
        <f t="shared" si="5"/>
        <v>0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3</v>
      </c>
      <c r="Q67" s="117"/>
      <c r="R67" s="48"/>
      <c r="S67" s="48"/>
      <c r="T67" s="48"/>
      <c r="U67" s="117"/>
    </row>
    <row r="68" spans="1:26" x14ac:dyDescent="0.3">
      <c r="A68" s="53">
        <v>46200</v>
      </c>
      <c r="B68" s="54">
        <v>0.75</v>
      </c>
      <c r="C68" s="45" t="s">
        <v>10</v>
      </c>
      <c r="D68" s="46">
        <v>3</v>
      </c>
      <c r="E68" s="46" t="s">
        <v>1</v>
      </c>
      <c r="F68" s="46">
        <v>1</v>
      </c>
      <c r="G68" s="45" t="s">
        <v>106</v>
      </c>
      <c r="K68" s="8" t="str">
        <f t="shared" ref="K68:K69" si="7">IF(D68="","",IF(D68&gt;F68,C68,IF(F68&gt;D68,G68,"EMPATE")))</f>
        <v>Croácia</v>
      </c>
      <c r="L68" s="9">
        <f t="shared" ref="L68:L69" si="8">IF(D68="","",IF(D68&gt;F68,D68,IF(F68&gt;D68,F68,D68)))</f>
        <v>3</v>
      </c>
      <c r="M68" s="9">
        <f t="shared" ref="M68:M69" si="9">IF(D68="","",IF(D68&lt;F68,D68,IF(F68&lt;D68,F68,D68)))</f>
        <v>1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4</v>
      </c>
      <c r="Q68" s="117"/>
      <c r="R68" s="48"/>
      <c r="S68" s="48"/>
      <c r="T68" s="48"/>
      <c r="U68" s="117"/>
    </row>
    <row r="69" spans="1:26" x14ac:dyDescent="0.3">
      <c r="A69" s="53">
        <v>46200</v>
      </c>
      <c r="B69" s="54">
        <v>0.75</v>
      </c>
      <c r="C69" s="45" t="s">
        <v>130</v>
      </c>
      <c r="D69" s="46">
        <v>0</v>
      </c>
      <c r="E69" s="46" t="s">
        <v>1</v>
      </c>
      <c r="F69" s="46">
        <v>3</v>
      </c>
      <c r="G69" s="45" t="s">
        <v>18</v>
      </c>
      <c r="K69" s="8" t="str">
        <f t="shared" si="7"/>
        <v>Inglaterra</v>
      </c>
      <c r="L69" s="9">
        <f t="shared" si="8"/>
        <v>3</v>
      </c>
      <c r="M69" s="9">
        <f t="shared" si="9"/>
        <v>0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4</v>
      </c>
      <c r="Q69" s="117"/>
      <c r="R69" s="48"/>
      <c r="S69" s="48"/>
      <c r="T69" s="48"/>
      <c r="U69" s="117"/>
    </row>
    <row r="70" spans="1:26" x14ac:dyDescent="0.3">
      <c r="A70" s="53">
        <v>46200</v>
      </c>
      <c r="B70" s="54">
        <v>0.85416666666666663</v>
      </c>
      <c r="C70" s="45" t="s">
        <v>127</v>
      </c>
      <c r="D70" s="46">
        <v>1</v>
      </c>
      <c r="E70" s="46" t="s">
        <v>1</v>
      </c>
      <c r="F70" s="46">
        <v>0</v>
      </c>
      <c r="G70" s="45" t="s">
        <v>128</v>
      </c>
      <c r="K70" s="8" t="str">
        <f t="shared" ref="K70:K105" si="10">IF(D70="","",IF(D70&gt;F70,C70,IF(F70&gt;D70,G70,"EMPATE")))</f>
        <v>RD Congo</v>
      </c>
      <c r="L70" s="9">
        <f t="shared" ref="L70:L105" si="11">IF(D70="","",IF(D70&gt;F70,D70,IF(F70&gt;D70,F70,D70)))</f>
        <v>1</v>
      </c>
      <c r="M70" s="9">
        <f t="shared" ref="M70:M105" si="12">IF(D70="","",IF(D70&lt;F70,D70,IF(F70&lt;D70,F70,D70)))</f>
        <v>0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3</v>
      </c>
      <c r="Q70" s="117"/>
      <c r="R70" s="48"/>
      <c r="S70" s="48"/>
      <c r="T70" s="48"/>
      <c r="U70" s="117"/>
    </row>
    <row r="71" spans="1:26" x14ac:dyDescent="0.3">
      <c r="A71" s="53">
        <v>46200</v>
      </c>
      <c r="B71" s="54">
        <v>0.85416666666666663</v>
      </c>
      <c r="C71" s="45" t="s">
        <v>129</v>
      </c>
      <c r="D71" s="46">
        <v>1</v>
      </c>
      <c r="E71" s="46" t="s">
        <v>1</v>
      </c>
      <c r="F71" s="46">
        <v>1</v>
      </c>
      <c r="G71" s="45" t="s">
        <v>5</v>
      </c>
      <c r="K71" s="8" t="str">
        <f t="shared" si="10"/>
        <v>EMPATE</v>
      </c>
      <c r="L71" s="9">
        <f t="shared" si="11"/>
        <v>1</v>
      </c>
      <c r="M71" s="9">
        <f t="shared" si="12"/>
        <v>1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6</v>
      </c>
      <c r="Q71" s="117"/>
      <c r="R71" s="48"/>
      <c r="S71" s="48"/>
      <c r="T71" s="48"/>
      <c r="U71" s="117"/>
    </row>
    <row r="72" spans="1:26" x14ac:dyDescent="0.3">
      <c r="A72" s="53">
        <v>46200</v>
      </c>
      <c r="B72" s="54">
        <v>0.95833333333333337</v>
      </c>
      <c r="C72" s="45" t="s">
        <v>126</v>
      </c>
      <c r="D72" s="46">
        <v>1</v>
      </c>
      <c r="E72" s="46" t="s">
        <v>1</v>
      </c>
      <c r="F72" s="46">
        <v>2</v>
      </c>
      <c r="G72" s="45" t="s">
        <v>9</v>
      </c>
      <c r="K72" s="8" t="str">
        <f t="shared" si="10"/>
        <v>Argentina</v>
      </c>
      <c r="L72" s="9">
        <f t="shared" si="11"/>
        <v>2</v>
      </c>
      <c r="M72" s="9">
        <f t="shared" si="12"/>
        <v>1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4</v>
      </c>
      <c r="Q72" s="117"/>
      <c r="R72" s="48"/>
      <c r="S72" s="48"/>
      <c r="T72" s="48"/>
      <c r="U72" s="117"/>
    </row>
    <row r="73" spans="1:26" x14ac:dyDescent="0.3">
      <c r="A73" s="53">
        <v>46200</v>
      </c>
      <c r="B73" s="54">
        <v>0.95833333333333337</v>
      </c>
      <c r="C73" s="45" t="s">
        <v>124</v>
      </c>
      <c r="D73" s="46">
        <v>2</v>
      </c>
      <c r="E73" s="46" t="s">
        <v>1</v>
      </c>
      <c r="F73" s="46">
        <v>2</v>
      </c>
      <c r="G73" s="45" t="s">
        <v>125</v>
      </c>
      <c r="K73" s="8" t="str">
        <f t="shared" si="10"/>
        <v>EMPATE</v>
      </c>
      <c r="L73" s="9">
        <f t="shared" si="11"/>
        <v>2</v>
      </c>
      <c r="M73" s="9">
        <f t="shared" si="12"/>
        <v>2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6</v>
      </c>
      <c r="Q73" s="117"/>
      <c r="R73" s="48"/>
      <c r="S73" s="48"/>
      <c r="T73" s="48"/>
      <c r="U73" s="117"/>
    </row>
    <row r="74" spans="1:26" x14ac:dyDescent="0.3">
      <c r="A74" s="60">
        <v>46201</v>
      </c>
      <c r="B74" s="61">
        <v>0.66666666666666663</v>
      </c>
      <c r="C74" s="62" t="s">
        <v>88</v>
      </c>
      <c r="D74" s="146">
        <v>1</v>
      </c>
      <c r="E74" s="146" t="s">
        <v>1</v>
      </c>
      <c r="F74" s="146">
        <v>3</v>
      </c>
      <c r="G74" s="62" t="s">
        <v>105</v>
      </c>
      <c r="K74" s="8" t="str">
        <f t="shared" si="10"/>
        <v>Canadá</v>
      </c>
      <c r="L74" s="9">
        <f t="shared" si="11"/>
        <v>3</v>
      </c>
      <c r="M74" s="9">
        <f t="shared" si="12"/>
        <v>1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145" t="s">
        <v>88</v>
      </c>
      <c r="R74" s="146">
        <v>1</v>
      </c>
      <c r="S74" s="146" t="s">
        <v>1</v>
      </c>
      <c r="T74" s="146">
        <v>3</v>
      </c>
      <c r="U74" s="145" t="s">
        <v>105</v>
      </c>
      <c r="V74" t="b">
        <f>Q74=C74</f>
        <v>1</v>
      </c>
      <c r="Z74" s="144" t="b">
        <f>U74=G74</f>
        <v>1</v>
      </c>
    </row>
    <row r="75" spans="1:26" x14ac:dyDescent="0.3">
      <c r="A75" s="60">
        <v>46202</v>
      </c>
      <c r="B75" s="61">
        <v>0.58333333333333337</v>
      </c>
      <c r="C75" s="62" t="s">
        <v>11</v>
      </c>
      <c r="D75" s="146">
        <v>4</v>
      </c>
      <c r="E75" s="146" t="s">
        <v>1</v>
      </c>
      <c r="F75" s="146">
        <v>1</v>
      </c>
      <c r="G75" s="62" t="s">
        <v>19</v>
      </c>
      <c r="K75" s="8" t="str">
        <f t="shared" si="10"/>
        <v>Brasil</v>
      </c>
      <c r="L75" s="9">
        <f t="shared" si="11"/>
        <v>4</v>
      </c>
      <c r="M75" s="9">
        <f t="shared" si="12"/>
        <v>1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145" t="s">
        <v>11</v>
      </c>
      <c r="R75" s="146">
        <v>4</v>
      </c>
      <c r="S75" s="146" t="s">
        <v>1</v>
      </c>
      <c r="T75" s="146">
        <v>1</v>
      </c>
      <c r="U75" s="145" t="s">
        <v>19</v>
      </c>
      <c r="V75" s="144" t="b">
        <f t="shared" ref="V75:V89" si="13">Q75=C75</f>
        <v>1</v>
      </c>
      <c r="Z75" s="144" t="b">
        <f t="shared" ref="Z75:Z89" si="14">U75=G75</f>
        <v>1</v>
      </c>
    </row>
    <row r="76" spans="1:26" x14ac:dyDescent="0.3">
      <c r="A76" s="60">
        <v>46202</v>
      </c>
      <c r="B76" s="61">
        <v>0.72916666666666663</v>
      </c>
      <c r="C76" s="62" t="s">
        <v>12</v>
      </c>
      <c r="D76" s="146">
        <v>3</v>
      </c>
      <c r="E76" s="146" t="s">
        <v>1</v>
      </c>
      <c r="F76" s="146">
        <v>0</v>
      </c>
      <c r="G76" s="62" t="s">
        <v>115</v>
      </c>
      <c r="K76" s="8" t="str">
        <f t="shared" si="10"/>
        <v>Alemanha</v>
      </c>
      <c r="L76" s="9">
        <f t="shared" si="11"/>
        <v>3</v>
      </c>
      <c r="M76" s="9">
        <f t="shared" si="12"/>
        <v>0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145" t="s">
        <v>12</v>
      </c>
      <c r="R76" s="146">
        <v>3</v>
      </c>
      <c r="S76" s="146" t="s">
        <v>1</v>
      </c>
      <c r="T76" s="146">
        <v>0</v>
      </c>
      <c r="U76" s="145" t="s">
        <v>115</v>
      </c>
      <c r="V76" s="144" t="b">
        <f t="shared" si="13"/>
        <v>1</v>
      </c>
      <c r="Z76" s="144" t="b">
        <f t="shared" si="14"/>
        <v>1</v>
      </c>
    </row>
    <row r="77" spans="1:26" x14ac:dyDescent="0.3">
      <c r="A77" s="60">
        <v>46202</v>
      </c>
      <c r="B77" s="61">
        <v>0.91666666666666663</v>
      </c>
      <c r="C77" s="62" t="s">
        <v>78</v>
      </c>
      <c r="D77" s="146">
        <v>1</v>
      </c>
      <c r="E77" s="146" t="s">
        <v>1</v>
      </c>
      <c r="F77" s="146">
        <v>1</v>
      </c>
      <c r="G77" s="62" t="s">
        <v>4</v>
      </c>
      <c r="K77" s="8" t="str">
        <f t="shared" si="10"/>
        <v>EMPATE</v>
      </c>
      <c r="L77" s="9">
        <f t="shared" si="11"/>
        <v>1</v>
      </c>
      <c r="M77" s="9">
        <f t="shared" si="12"/>
        <v>1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145" t="s">
        <v>78</v>
      </c>
      <c r="R77" s="146">
        <v>1</v>
      </c>
      <c r="S77" s="146" t="s">
        <v>1</v>
      </c>
      <c r="T77" s="146">
        <v>1</v>
      </c>
      <c r="U77" s="145" t="s">
        <v>4</v>
      </c>
      <c r="V77" s="144" t="b">
        <f t="shared" si="13"/>
        <v>1</v>
      </c>
      <c r="Z77" s="144" t="b">
        <f t="shared" si="14"/>
        <v>1</v>
      </c>
    </row>
    <row r="78" spans="1:26" x14ac:dyDescent="0.3">
      <c r="A78" s="60">
        <v>46203</v>
      </c>
      <c r="B78" s="61">
        <v>0.58333333333333337</v>
      </c>
      <c r="C78" s="62" t="s">
        <v>118</v>
      </c>
      <c r="D78" s="146">
        <v>1</v>
      </c>
      <c r="E78" s="146" t="s">
        <v>1</v>
      </c>
      <c r="F78" s="146">
        <v>2</v>
      </c>
      <c r="G78" s="62" t="s">
        <v>123</v>
      </c>
      <c r="K78" s="8" t="str">
        <f t="shared" si="10"/>
        <v>Noruega</v>
      </c>
      <c r="L78" s="9">
        <f t="shared" si="11"/>
        <v>2</v>
      </c>
      <c r="M78" s="9">
        <f t="shared" si="12"/>
        <v>1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145" t="s">
        <v>118</v>
      </c>
      <c r="R78" s="146">
        <v>1</v>
      </c>
      <c r="S78" s="146" t="s">
        <v>1</v>
      </c>
      <c r="T78" s="146">
        <v>2</v>
      </c>
      <c r="U78" s="145" t="s">
        <v>123</v>
      </c>
      <c r="V78" s="144" t="b">
        <f t="shared" si="13"/>
        <v>1</v>
      </c>
      <c r="Z78" s="144" t="b">
        <f t="shared" si="14"/>
        <v>1</v>
      </c>
    </row>
    <row r="79" spans="1:26" x14ac:dyDescent="0.3">
      <c r="A79" s="60">
        <v>46203</v>
      </c>
      <c r="B79" s="61">
        <v>0.75</v>
      </c>
      <c r="C79" s="62" t="s">
        <v>7</v>
      </c>
      <c r="D79" s="146">
        <v>4</v>
      </c>
      <c r="E79" s="146" t="s">
        <v>1</v>
      </c>
      <c r="F79" s="146">
        <v>0</v>
      </c>
      <c r="G79" s="62" t="s">
        <v>14</v>
      </c>
      <c r="K79" s="8" t="str">
        <f t="shared" si="10"/>
        <v>França</v>
      </c>
      <c r="L79" s="9">
        <f t="shared" si="11"/>
        <v>4</v>
      </c>
      <c r="M79" s="9">
        <f t="shared" si="12"/>
        <v>0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145" t="s">
        <v>7</v>
      </c>
      <c r="R79" s="146">
        <v>4</v>
      </c>
      <c r="S79" s="146" t="s">
        <v>1</v>
      </c>
      <c r="T79" s="146">
        <v>0</v>
      </c>
      <c r="U79" s="145" t="s">
        <v>14</v>
      </c>
      <c r="V79" s="144" t="b">
        <f t="shared" si="13"/>
        <v>1</v>
      </c>
      <c r="Z79" s="144" t="b">
        <f t="shared" si="14"/>
        <v>1</v>
      </c>
    </row>
    <row r="80" spans="1:26" x14ac:dyDescent="0.3">
      <c r="A80" s="60">
        <v>46203</v>
      </c>
      <c r="B80" s="61">
        <v>0.91666666666666663</v>
      </c>
      <c r="C80" s="62" t="s">
        <v>13</v>
      </c>
      <c r="D80" s="146">
        <v>2</v>
      </c>
      <c r="E80" s="146" t="s">
        <v>1</v>
      </c>
      <c r="F80" s="146">
        <v>3</v>
      </c>
      <c r="G80" s="62" t="s">
        <v>102</v>
      </c>
      <c r="K80" s="8" t="str">
        <f t="shared" si="10"/>
        <v>Equador</v>
      </c>
      <c r="L80" s="9">
        <f t="shared" si="11"/>
        <v>3</v>
      </c>
      <c r="M80" s="9">
        <f t="shared" si="12"/>
        <v>2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145" t="s">
        <v>13</v>
      </c>
      <c r="R80" s="146">
        <v>2</v>
      </c>
      <c r="S80" s="146" t="s">
        <v>1</v>
      </c>
      <c r="T80" s="146">
        <v>3</v>
      </c>
      <c r="U80" s="145" t="s">
        <v>102</v>
      </c>
      <c r="V80" s="144" t="b">
        <f t="shared" si="13"/>
        <v>1</v>
      </c>
      <c r="Z80" s="144" t="b">
        <f t="shared" si="14"/>
        <v>1</v>
      </c>
    </row>
    <row r="81" spans="1:26" x14ac:dyDescent="0.3">
      <c r="A81" s="60">
        <v>46204</v>
      </c>
      <c r="B81" s="61">
        <v>0.54166666666666663</v>
      </c>
      <c r="C81" s="62" t="s">
        <v>18</v>
      </c>
      <c r="D81" s="146">
        <v>5</v>
      </c>
      <c r="E81" s="146" t="s">
        <v>1</v>
      </c>
      <c r="F81" s="146">
        <v>0</v>
      </c>
      <c r="G81" s="62" t="s">
        <v>127</v>
      </c>
      <c r="K81" s="8" t="str">
        <f t="shared" si="10"/>
        <v>Inglaterra</v>
      </c>
      <c r="L81" s="9">
        <f t="shared" si="11"/>
        <v>5</v>
      </c>
      <c r="M81" s="9">
        <f t="shared" si="12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145" t="s">
        <v>18</v>
      </c>
      <c r="R81" s="146">
        <v>5</v>
      </c>
      <c r="S81" s="146" t="s">
        <v>1</v>
      </c>
      <c r="T81" s="146">
        <v>0</v>
      </c>
      <c r="U81" s="145" t="s">
        <v>127</v>
      </c>
      <c r="V81" s="144" t="b">
        <f t="shared" si="13"/>
        <v>1</v>
      </c>
      <c r="Z81" s="144" t="b">
        <f t="shared" si="14"/>
        <v>1</v>
      </c>
    </row>
    <row r="82" spans="1:26" x14ac:dyDescent="0.3">
      <c r="A82" s="60">
        <v>46204</v>
      </c>
      <c r="B82" s="61">
        <v>0.70833333333333337</v>
      </c>
      <c r="C82" s="62" t="s">
        <v>16</v>
      </c>
      <c r="D82" s="146">
        <v>1</v>
      </c>
      <c r="E82" s="146" t="s">
        <v>1</v>
      </c>
      <c r="F82" s="146">
        <v>1</v>
      </c>
      <c r="G82" s="62" t="s">
        <v>20</v>
      </c>
      <c r="K82" s="8" t="str">
        <f t="shared" si="10"/>
        <v>EMPATE</v>
      </c>
      <c r="L82" s="9">
        <f t="shared" si="11"/>
        <v>1</v>
      </c>
      <c r="M82" s="9">
        <f t="shared" si="12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145" t="s">
        <v>16</v>
      </c>
      <c r="R82" s="146">
        <v>1</v>
      </c>
      <c r="S82" s="146" t="s">
        <v>1</v>
      </c>
      <c r="T82" s="146">
        <v>1</v>
      </c>
      <c r="U82" s="145" t="s">
        <v>20</v>
      </c>
      <c r="V82" s="144" t="b">
        <f t="shared" si="13"/>
        <v>1</v>
      </c>
      <c r="Z82" s="144" t="b">
        <f t="shared" si="14"/>
        <v>1</v>
      </c>
    </row>
    <row r="83" spans="1:26" x14ac:dyDescent="0.3">
      <c r="A83" s="60">
        <v>46204</v>
      </c>
      <c r="B83" s="61">
        <v>0.875</v>
      </c>
      <c r="C83" s="62" t="s">
        <v>104</v>
      </c>
      <c r="D83" s="146">
        <v>2</v>
      </c>
      <c r="E83" s="146" t="s">
        <v>1</v>
      </c>
      <c r="F83" s="146">
        <v>0</v>
      </c>
      <c r="G83" s="62" t="s">
        <v>112</v>
      </c>
      <c r="K83" s="8" t="str">
        <f t="shared" si="10"/>
        <v>Estados Unidos</v>
      </c>
      <c r="L83" s="9">
        <f t="shared" si="11"/>
        <v>2</v>
      </c>
      <c r="M83" s="9">
        <f t="shared" si="12"/>
        <v>0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145" t="s">
        <v>104</v>
      </c>
      <c r="R83" s="146">
        <v>2</v>
      </c>
      <c r="S83" s="146" t="s">
        <v>1</v>
      </c>
      <c r="T83" s="146">
        <v>0</v>
      </c>
      <c r="U83" s="145" t="s">
        <v>112</v>
      </c>
      <c r="V83" s="144" t="b">
        <f t="shared" si="13"/>
        <v>1</v>
      </c>
      <c r="Z83" s="144" t="b">
        <f t="shared" si="14"/>
        <v>1</v>
      </c>
    </row>
    <row r="84" spans="1:26" x14ac:dyDescent="0.3">
      <c r="A84" s="60">
        <v>46205</v>
      </c>
      <c r="B84" s="61">
        <v>0.66666666666666663</v>
      </c>
      <c r="C84" s="62" t="s">
        <v>6</v>
      </c>
      <c r="D84" s="146">
        <v>3</v>
      </c>
      <c r="E84" s="146" t="s">
        <v>1</v>
      </c>
      <c r="F84" s="146">
        <v>1</v>
      </c>
      <c r="G84" s="62" t="s">
        <v>125</v>
      </c>
      <c r="K84" s="8" t="str">
        <f t="shared" si="10"/>
        <v>Espanha</v>
      </c>
      <c r="L84" s="9">
        <f t="shared" si="11"/>
        <v>3</v>
      </c>
      <c r="M84" s="9">
        <f t="shared" si="12"/>
        <v>1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145" t="s">
        <v>6</v>
      </c>
      <c r="R84" s="146">
        <v>3</v>
      </c>
      <c r="S84" s="146" t="s">
        <v>1</v>
      </c>
      <c r="T84" s="146">
        <v>1</v>
      </c>
      <c r="U84" s="145" t="s">
        <v>125</v>
      </c>
      <c r="V84" s="144" t="b">
        <f t="shared" si="13"/>
        <v>1</v>
      </c>
      <c r="Z84" s="144" t="b">
        <f t="shared" si="14"/>
        <v>1</v>
      </c>
    </row>
    <row r="85" spans="1:26" x14ac:dyDescent="0.3">
      <c r="A85" s="60">
        <v>46205</v>
      </c>
      <c r="B85" s="61">
        <v>0.83333333333333337</v>
      </c>
      <c r="C85" s="62" t="s">
        <v>5</v>
      </c>
      <c r="D85" s="146">
        <v>3</v>
      </c>
      <c r="E85" s="146" t="s">
        <v>1</v>
      </c>
      <c r="F85" s="146">
        <v>2</v>
      </c>
      <c r="G85" s="62" t="s">
        <v>10</v>
      </c>
      <c r="K85" s="8" t="str">
        <f t="shared" si="10"/>
        <v>Portugal</v>
      </c>
      <c r="L85" s="9">
        <f t="shared" si="11"/>
        <v>3</v>
      </c>
      <c r="M85" s="9">
        <f t="shared" si="12"/>
        <v>2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145" t="s">
        <v>5</v>
      </c>
      <c r="R85" s="146">
        <v>3</v>
      </c>
      <c r="S85" s="146" t="s">
        <v>1</v>
      </c>
      <c r="T85" s="146">
        <v>2</v>
      </c>
      <c r="U85" s="145" t="s">
        <v>10</v>
      </c>
      <c r="V85" s="144" t="b">
        <f t="shared" si="13"/>
        <v>1</v>
      </c>
      <c r="Z85" s="144" t="b">
        <f t="shared" si="14"/>
        <v>1</v>
      </c>
    </row>
    <row r="86" spans="1:26" x14ac:dyDescent="0.3">
      <c r="A86" s="60">
        <v>46206</v>
      </c>
      <c r="B86" s="61">
        <v>0</v>
      </c>
      <c r="C86" s="62" t="s">
        <v>72</v>
      </c>
      <c r="D86" s="146">
        <v>2</v>
      </c>
      <c r="E86" s="146" t="s">
        <v>1</v>
      </c>
      <c r="F86" s="146">
        <v>0</v>
      </c>
      <c r="G86" s="62" t="s">
        <v>124</v>
      </c>
      <c r="K86" s="8" t="str">
        <f t="shared" si="10"/>
        <v>Suíça</v>
      </c>
      <c r="L86" s="9">
        <f t="shared" si="11"/>
        <v>2</v>
      </c>
      <c r="M86" s="9">
        <f t="shared" si="12"/>
        <v>0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145" t="s">
        <v>72</v>
      </c>
      <c r="R86" s="146">
        <v>2</v>
      </c>
      <c r="S86" s="146" t="s">
        <v>1</v>
      </c>
      <c r="T86" s="146">
        <v>0</v>
      </c>
      <c r="U86" s="145" t="s">
        <v>124</v>
      </c>
      <c r="V86" s="144" t="b">
        <f t="shared" si="13"/>
        <v>1</v>
      </c>
      <c r="Z86" s="144" t="b">
        <f t="shared" si="14"/>
        <v>1</v>
      </c>
    </row>
    <row r="87" spans="1:26" x14ac:dyDescent="0.3">
      <c r="A87" s="60">
        <v>46206</v>
      </c>
      <c r="B87" s="61">
        <v>0.625</v>
      </c>
      <c r="C87" s="62" t="s">
        <v>8</v>
      </c>
      <c r="D87" s="146">
        <v>0</v>
      </c>
      <c r="E87" s="146" t="s">
        <v>1</v>
      </c>
      <c r="F87" s="146">
        <v>2</v>
      </c>
      <c r="G87" s="62" t="s">
        <v>119</v>
      </c>
      <c r="K87" s="8" t="str">
        <f t="shared" si="10"/>
        <v>Egito</v>
      </c>
      <c r="L87" s="9">
        <f t="shared" si="11"/>
        <v>2</v>
      </c>
      <c r="M87" s="9">
        <f t="shared" si="12"/>
        <v>0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145" t="s">
        <v>8</v>
      </c>
      <c r="R87" s="146">
        <v>0</v>
      </c>
      <c r="S87" s="146" t="s">
        <v>1</v>
      </c>
      <c r="T87" s="146">
        <v>2</v>
      </c>
      <c r="U87" s="145" t="s">
        <v>119</v>
      </c>
      <c r="V87" s="144" t="b">
        <f t="shared" si="13"/>
        <v>1</v>
      </c>
      <c r="Z87" s="144" t="b">
        <f t="shared" si="14"/>
        <v>1</v>
      </c>
    </row>
    <row r="88" spans="1:26" x14ac:dyDescent="0.3">
      <c r="A88" s="60">
        <v>46206</v>
      </c>
      <c r="B88" s="61">
        <v>0.79166666666666663</v>
      </c>
      <c r="C88" s="62" t="s">
        <v>9</v>
      </c>
      <c r="D88" s="146">
        <v>3</v>
      </c>
      <c r="E88" s="146" t="s">
        <v>1</v>
      </c>
      <c r="F88" s="146">
        <v>0</v>
      </c>
      <c r="G88" s="62" t="s">
        <v>121</v>
      </c>
      <c r="K88" s="8" t="str">
        <f t="shared" si="10"/>
        <v>Argentina</v>
      </c>
      <c r="L88" s="9">
        <f t="shared" si="11"/>
        <v>3</v>
      </c>
      <c r="M88" s="9">
        <f t="shared" si="12"/>
        <v>0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145" t="s">
        <v>9</v>
      </c>
      <c r="R88" s="146">
        <v>3</v>
      </c>
      <c r="S88" s="146" t="s">
        <v>1</v>
      </c>
      <c r="T88" s="146">
        <v>0</v>
      </c>
      <c r="U88" s="145" t="s">
        <v>121</v>
      </c>
      <c r="V88" s="144" t="b">
        <f t="shared" si="13"/>
        <v>1</v>
      </c>
      <c r="Z88" s="144" t="b">
        <f t="shared" si="14"/>
        <v>1</v>
      </c>
    </row>
    <row r="89" spans="1:26" x14ac:dyDescent="0.3">
      <c r="A89" s="60">
        <v>46206</v>
      </c>
      <c r="B89" s="61">
        <v>0.9375</v>
      </c>
      <c r="C89" s="62" t="s">
        <v>129</v>
      </c>
      <c r="D89" s="146">
        <v>2</v>
      </c>
      <c r="E89" s="146" t="s">
        <v>1</v>
      </c>
      <c r="F89" s="146">
        <v>1</v>
      </c>
      <c r="G89" s="62" t="s">
        <v>106</v>
      </c>
      <c r="K89" s="8" t="str">
        <f t="shared" si="10"/>
        <v>Colômbia</v>
      </c>
      <c r="L89" s="9">
        <f t="shared" si="11"/>
        <v>2</v>
      </c>
      <c r="M89" s="9">
        <f t="shared" si="12"/>
        <v>1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145" t="s">
        <v>129</v>
      </c>
      <c r="R89" s="146">
        <v>2</v>
      </c>
      <c r="S89" s="146" t="s">
        <v>1</v>
      </c>
      <c r="T89" s="146">
        <v>1</v>
      </c>
      <c r="U89" s="145" t="s">
        <v>106</v>
      </c>
      <c r="V89" s="144" t="b">
        <f t="shared" si="13"/>
        <v>1</v>
      </c>
      <c r="Z89" s="144" t="b">
        <f t="shared" si="14"/>
        <v>1</v>
      </c>
    </row>
    <row r="90" spans="1:26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6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6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6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6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6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6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84A7-B4DA-43C8-A13A-652151D026DA}">
  <dimension ref="A1:Z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.109375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21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131</v>
      </c>
      <c r="I1" s="135"/>
      <c r="J1" s="142"/>
      <c r="K1" s="3" t="s">
        <v>32</v>
      </c>
      <c r="L1" s="3" t="s">
        <v>30</v>
      </c>
      <c r="M1" s="3" t="s">
        <v>31</v>
      </c>
      <c r="O1" s="4" t="s">
        <v>33</v>
      </c>
    </row>
    <row r="2" spans="1:21" ht="15.75" customHeight="1" x14ac:dyDescent="0.3">
      <c r="A2" s="53">
        <v>46184</v>
      </c>
      <c r="B2" s="54">
        <v>0.66666666666666663</v>
      </c>
      <c r="C2" s="55" t="s">
        <v>13</v>
      </c>
      <c r="D2" s="46">
        <v>2</v>
      </c>
      <c r="E2" s="46" t="s">
        <v>1</v>
      </c>
      <c r="F2" s="46">
        <v>0</v>
      </c>
      <c r="G2" s="55" t="s">
        <v>88</v>
      </c>
      <c r="H2" s="141"/>
      <c r="I2" s="135"/>
      <c r="J2" s="142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Q2" s="86"/>
      <c r="R2" s="48"/>
      <c r="S2" s="48"/>
      <c r="T2" s="48"/>
      <c r="U2" s="86"/>
    </row>
    <row r="3" spans="1:21" ht="15.75" customHeight="1" x14ac:dyDescent="0.3">
      <c r="A3" s="53">
        <v>46184</v>
      </c>
      <c r="B3" s="54">
        <v>0.95833333333333337</v>
      </c>
      <c r="C3" s="55" t="s">
        <v>15</v>
      </c>
      <c r="D3" s="46">
        <v>1</v>
      </c>
      <c r="E3" s="46" t="s">
        <v>1</v>
      </c>
      <c r="F3" s="46">
        <v>0</v>
      </c>
      <c r="G3" s="55" t="s">
        <v>111</v>
      </c>
      <c r="H3" s="141"/>
      <c r="I3" s="135"/>
      <c r="J3" s="142"/>
      <c r="K3" s="8" t="str">
        <f t="shared" si="0"/>
        <v>Coréia do Sul</v>
      </c>
      <c r="L3" s="9">
        <f t="shared" si="1"/>
        <v>1</v>
      </c>
      <c r="M3" s="9">
        <f t="shared" si="2"/>
        <v>0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3</v>
      </c>
      <c r="Q3" s="86"/>
      <c r="R3" s="48"/>
      <c r="S3" s="48"/>
      <c r="T3" s="48"/>
      <c r="U3" s="86"/>
    </row>
    <row r="4" spans="1:21" ht="15.75" customHeight="1" x14ac:dyDescent="0.3">
      <c r="A4" s="53">
        <v>46185</v>
      </c>
      <c r="B4" s="54">
        <v>0.66666666666666663</v>
      </c>
      <c r="C4" s="55" t="s">
        <v>105</v>
      </c>
      <c r="D4" s="46">
        <v>2</v>
      </c>
      <c r="E4" s="46" t="s">
        <v>1</v>
      </c>
      <c r="F4" s="46">
        <v>1</v>
      </c>
      <c r="G4" s="55" t="s">
        <v>112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86"/>
      <c r="R4" s="48"/>
      <c r="S4" s="48"/>
      <c r="T4" s="48"/>
      <c r="U4" s="86"/>
    </row>
    <row r="5" spans="1:21" ht="15.75" customHeight="1" x14ac:dyDescent="0.3">
      <c r="A5" s="53">
        <v>46185</v>
      </c>
      <c r="B5" s="54">
        <v>0.91666666666666663</v>
      </c>
      <c r="C5" s="55" t="s">
        <v>104</v>
      </c>
      <c r="D5" s="46">
        <v>2</v>
      </c>
      <c r="E5" s="46" t="s">
        <v>1</v>
      </c>
      <c r="F5" s="46">
        <v>1</v>
      </c>
      <c r="G5" s="55" t="s">
        <v>115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  <c r="Q5" s="86"/>
      <c r="R5" s="48"/>
      <c r="S5" s="48"/>
      <c r="T5" s="48"/>
      <c r="U5" s="86"/>
    </row>
    <row r="6" spans="1:21" ht="15.75" customHeight="1" x14ac:dyDescent="0.3">
      <c r="A6" s="53">
        <v>46186</v>
      </c>
      <c r="B6" s="54">
        <v>0.66666666666666663</v>
      </c>
      <c r="C6" s="55" t="s">
        <v>97</v>
      </c>
      <c r="D6" s="46">
        <v>0</v>
      </c>
      <c r="E6" s="46" t="s">
        <v>1</v>
      </c>
      <c r="F6" s="46">
        <v>2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3"/>
        <v>Suíça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86"/>
      <c r="R6" s="48"/>
      <c r="S6" s="48"/>
      <c r="T6" s="48"/>
      <c r="U6" s="86"/>
    </row>
    <row r="7" spans="1:21" ht="15.75" customHeight="1" x14ac:dyDescent="0.3">
      <c r="A7" s="53">
        <v>46186</v>
      </c>
      <c r="B7" s="54">
        <v>0.79166666666666663</v>
      </c>
      <c r="C7" s="55" t="s">
        <v>11</v>
      </c>
      <c r="D7" s="46">
        <v>2</v>
      </c>
      <c r="E7" s="46" t="s">
        <v>1</v>
      </c>
      <c r="F7" s="46">
        <v>1</v>
      </c>
      <c r="G7" s="55" t="s">
        <v>4</v>
      </c>
      <c r="H7" s="15">
        <v>9</v>
      </c>
      <c r="I7" s="15">
        <f>COUNTIF($O$2:$O$105,9)</f>
        <v>7</v>
      </c>
      <c r="J7" s="15">
        <f>H7*I7</f>
        <v>63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86"/>
      <c r="R7" s="48"/>
      <c r="S7" s="48"/>
      <c r="T7" s="48"/>
      <c r="U7" s="86"/>
    </row>
    <row r="8" spans="1:21" ht="15.75" customHeight="1" x14ac:dyDescent="0.3">
      <c r="A8" s="53">
        <v>46186</v>
      </c>
      <c r="B8" s="54">
        <v>0.91666666666666663</v>
      </c>
      <c r="C8" s="55" t="s">
        <v>113</v>
      </c>
      <c r="D8" s="46">
        <v>0</v>
      </c>
      <c r="E8" s="46" t="s">
        <v>1</v>
      </c>
      <c r="F8" s="46">
        <v>3</v>
      </c>
      <c r="G8" s="55" t="s">
        <v>114</v>
      </c>
      <c r="H8" s="15">
        <v>6</v>
      </c>
      <c r="I8" s="15">
        <f>COUNTIF($O$2:$O$105,6)</f>
        <v>3</v>
      </c>
      <c r="J8" s="15">
        <f t="shared" ref="J8:J11" si="6">H8*I8</f>
        <v>18</v>
      </c>
      <c r="K8" s="8" t="str">
        <f t="shared" si="3"/>
        <v>Escócia</v>
      </c>
      <c r="L8" s="9">
        <f t="shared" si="4"/>
        <v>3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  <c r="Q8" s="86"/>
      <c r="R8" s="48"/>
      <c r="S8" s="48"/>
      <c r="T8" s="48"/>
      <c r="U8" s="86"/>
    </row>
    <row r="9" spans="1:21" ht="15.75" customHeight="1" x14ac:dyDescent="0.3">
      <c r="A9" s="53">
        <v>46187</v>
      </c>
      <c r="B9" s="54">
        <v>4.1666666666666664E-2</v>
      </c>
      <c r="C9" s="55" t="s">
        <v>8</v>
      </c>
      <c r="D9" s="46">
        <v>1</v>
      </c>
      <c r="E9" s="46" t="s">
        <v>1</v>
      </c>
      <c r="F9" s="46">
        <v>2</v>
      </c>
      <c r="G9" s="55" t="s">
        <v>116</v>
      </c>
      <c r="H9" s="15">
        <v>4</v>
      </c>
      <c r="I9" s="15">
        <f>COUNTIF($O$2:$O$105,4)</f>
        <v>12</v>
      </c>
      <c r="J9" s="15">
        <f t="shared" si="6"/>
        <v>48</v>
      </c>
      <c r="K9" s="8" t="str">
        <f t="shared" si="3"/>
        <v>Turquia</v>
      </c>
      <c r="L9" s="9">
        <f t="shared" si="4"/>
        <v>2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Q9" s="86"/>
      <c r="R9" s="48"/>
      <c r="S9" s="48"/>
      <c r="T9" s="48"/>
      <c r="U9" s="86"/>
    </row>
    <row r="10" spans="1:21" x14ac:dyDescent="0.3">
      <c r="A10" s="53">
        <v>46187</v>
      </c>
      <c r="B10" s="54">
        <v>0.58333333333333337</v>
      </c>
      <c r="C10" s="55" t="s">
        <v>12</v>
      </c>
      <c r="D10" s="46">
        <v>4</v>
      </c>
      <c r="E10" s="94" t="s">
        <v>1</v>
      </c>
      <c r="F10" s="46">
        <v>0</v>
      </c>
      <c r="G10" s="55" t="s">
        <v>117</v>
      </c>
      <c r="H10" s="15">
        <v>3</v>
      </c>
      <c r="I10" s="15">
        <f>COUNTIF($O$2:$O$105,3)</f>
        <v>15</v>
      </c>
      <c r="J10" s="15">
        <f t="shared" si="6"/>
        <v>45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86"/>
      <c r="R10" s="48"/>
      <c r="S10" s="112"/>
      <c r="T10" s="48"/>
      <c r="U10" s="86"/>
    </row>
    <row r="11" spans="1:21" x14ac:dyDescent="0.3">
      <c r="A11" s="53">
        <v>46187</v>
      </c>
      <c r="B11" s="54">
        <v>0.70833333333333337</v>
      </c>
      <c r="C11" s="55" t="s">
        <v>78</v>
      </c>
      <c r="D11" s="46">
        <v>2</v>
      </c>
      <c r="E11" s="46" t="s">
        <v>1</v>
      </c>
      <c r="F11" s="46">
        <v>1</v>
      </c>
      <c r="G11" s="55" t="s">
        <v>19</v>
      </c>
      <c r="H11" s="15">
        <v>0</v>
      </c>
      <c r="I11" s="15">
        <f>COUNTIF($O$2:$O$105,0)</f>
        <v>35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86"/>
      <c r="R11" s="48"/>
      <c r="S11" s="48"/>
      <c r="T11" s="48"/>
      <c r="U11" s="86"/>
    </row>
    <row r="12" spans="1:21" ht="18" x14ac:dyDescent="0.35">
      <c r="A12" s="53">
        <v>46187</v>
      </c>
      <c r="B12" s="54">
        <v>0.83333333333333337</v>
      </c>
      <c r="C12" s="55" t="s">
        <v>118</v>
      </c>
      <c r="D12" s="46">
        <v>1</v>
      </c>
      <c r="E12" s="46" t="s">
        <v>1</v>
      </c>
      <c r="F12" s="46">
        <v>1</v>
      </c>
      <c r="G12" s="55" t="s">
        <v>102</v>
      </c>
      <c r="H12" s="15"/>
      <c r="I12" s="16" t="s">
        <v>46</v>
      </c>
      <c r="J12" s="17">
        <f>SUM(J7:J11)</f>
        <v>174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86"/>
      <c r="R12" s="48"/>
      <c r="S12" s="48"/>
      <c r="T12" s="48"/>
      <c r="U12" s="86"/>
    </row>
    <row r="13" spans="1:21" x14ac:dyDescent="0.3">
      <c r="A13" s="53">
        <v>46187</v>
      </c>
      <c r="B13" s="54">
        <v>0.95833333333333337</v>
      </c>
      <c r="C13" s="55" t="s">
        <v>14</v>
      </c>
      <c r="D13" s="46">
        <v>2</v>
      </c>
      <c r="E13" s="46" t="s">
        <v>1</v>
      </c>
      <c r="F13" s="46">
        <v>0</v>
      </c>
      <c r="G13" s="55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  <c r="Q13" s="86"/>
      <c r="R13" s="48"/>
      <c r="S13" s="48"/>
      <c r="T13" s="48"/>
      <c r="U13" s="86"/>
    </row>
    <row r="14" spans="1:21" x14ac:dyDescent="0.3">
      <c r="A14" s="53">
        <v>46188</v>
      </c>
      <c r="B14" s="54">
        <v>0.54166666666666663</v>
      </c>
      <c r="C14" s="55" t="s">
        <v>6</v>
      </c>
      <c r="D14" s="46">
        <v>3</v>
      </c>
      <c r="E14" s="46" t="s">
        <v>1</v>
      </c>
      <c r="F14" s="46">
        <v>0</v>
      </c>
      <c r="G14" s="55" t="s">
        <v>121</v>
      </c>
      <c r="K14" s="8" t="str">
        <f t="shared" si="3"/>
        <v>Espanha</v>
      </c>
      <c r="L14" s="9">
        <f t="shared" si="4"/>
        <v>3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86"/>
      <c r="R14" s="48"/>
      <c r="S14" s="48"/>
      <c r="T14" s="48"/>
      <c r="U14" s="86"/>
    </row>
    <row r="15" spans="1:21" x14ac:dyDescent="0.3">
      <c r="A15" s="53">
        <v>46188</v>
      </c>
      <c r="B15" s="54">
        <v>0.66666666666666663</v>
      </c>
      <c r="C15" s="55" t="s">
        <v>16</v>
      </c>
      <c r="D15" s="46">
        <v>2</v>
      </c>
      <c r="E15" s="46" t="s">
        <v>1</v>
      </c>
      <c r="F15" s="46">
        <v>0</v>
      </c>
      <c r="G15" s="55" t="s">
        <v>119</v>
      </c>
      <c r="K15" s="8" t="str">
        <f t="shared" si="3"/>
        <v>Bélgica</v>
      </c>
      <c r="L15" s="9">
        <f t="shared" si="4"/>
        <v>2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86"/>
      <c r="R15" s="48"/>
      <c r="S15" s="48"/>
      <c r="T15" s="48"/>
      <c r="U15" s="86"/>
    </row>
    <row r="16" spans="1:21" x14ac:dyDescent="0.3">
      <c r="A16" s="53">
        <v>46188</v>
      </c>
      <c r="B16" s="54">
        <v>0.79166666666666663</v>
      </c>
      <c r="C16" s="55" t="s">
        <v>2</v>
      </c>
      <c r="D16" s="46">
        <v>0</v>
      </c>
      <c r="E16" s="46" t="s">
        <v>1</v>
      </c>
      <c r="F16" s="46">
        <v>3</v>
      </c>
      <c r="G16" s="55" t="s">
        <v>3</v>
      </c>
      <c r="K16" s="8" t="str">
        <f t="shared" si="3"/>
        <v>Uruguai</v>
      </c>
      <c r="L16" s="9">
        <f t="shared" si="4"/>
        <v>3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86"/>
      <c r="R16" s="48"/>
      <c r="S16" s="48"/>
      <c r="T16" s="48"/>
      <c r="U16" s="86"/>
    </row>
    <row r="17" spans="1:21" x14ac:dyDescent="0.3">
      <c r="A17" s="53">
        <v>46188</v>
      </c>
      <c r="B17" s="54">
        <v>0.91666666666666663</v>
      </c>
      <c r="C17" s="55" t="s">
        <v>103</v>
      </c>
      <c r="D17" s="46">
        <v>2</v>
      </c>
      <c r="E17" s="46" t="s">
        <v>1</v>
      </c>
      <c r="F17" s="46">
        <v>1</v>
      </c>
      <c r="G17" s="55" t="s">
        <v>120</v>
      </c>
      <c r="K17" s="8" t="str">
        <f t="shared" si="3"/>
        <v>Irã</v>
      </c>
      <c r="L17" s="9">
        <f t="shared" si="4"/>
        <v>2</v>
      </c>
      <c r="M17" s="9">
        <f t="shared" si="5"/>
        <v>1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Q17" s="86"/>
      <c r="R17" s="48"/>
      <c r="S17" s="48"/>
      <c r="T17" s="48"/>
      <c r="U17" s="86"/>
    </row>
    <row r="18" spans="1:21" x14ac:dyDescent="0.3">
      <c r="A18" s="53">
        <v>46189</v>
      </c>
      <c r="B18" s="54">
        <v>0.66666666666666663</v>
      </c>
      <c r="C18" s="55" t="s">
        <v>7</v>
      </c>
      <c r="D18" s="46">
        <v>2</v>
      </c>
      <c r="E18" s="46" t="s">
        <v>1</v>
      </c>
      <c r="F18" s="46">
        <v>0</v>
      </c>
      <c r="G18" s="55" t="s">
        <v>20</v>
      </c>
      <c r="K18" s="8" t="str">
        <f t="shared" si="3"/>
        <v>França</v>
      </c>
      <c r="L18" s="9">
        <f t="shared" si="4"/>
        <v>2</v>
      </c>
      <c r="M18" s="9">
        <f t="shared" si="5"/>
        <v>0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3</v>
      </c>
      <c r="Q18" s="86"/>
      <c r="R18" s="48"/>
      <c r="S18" s="48"/>
      <c r="T18" s="48"/>
      <c r="U18" s="86"/>
    </row>
    <row r="19" spans="1:21" x14ac:dyDescent="0.3">
      <c r="A19" s="53">
        <v>46189</v>
      </c>
      <c r="B19" s="54">
        <v>0.79166666666666663</v>
      </c>
      <c r="C19" s="55" t="s">
        <v>122</v>
      </c>
      <c r="D19" s="46">
        <v>1</v>
      </c>
      <c r="E19" s="46" t="s">
        <v>1</v>
      </c>
      <c r="F19" s="46">
        <v>2</v>
      </c>
      <c r="G19" s="55" t="s">
        <v>123</v>
      </c>
      <c r="K19" s="8" t="str">
        <f t="shared" si="3"/>
        <v>Noruega</v>
      </c>
      <c r="L19" s="9">
        <f t="shared" si="4"/>
        <v>2</v>
      </c>
      <c r="M19" s="9">
        <f t="shared" si="5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4</v>
      </c>
      <c r="Q19" s="86"/>
      <c r="R19" s="48"/>
      <c r="S19" s="48"/>
      <c r="T19" s="48"/>
      <c r="U19" s="86"/>
    </row>
    <row r="20" spans="1:21" x14ac:dyDescent="0.3">
      <c r="A20" s="53">
        <v>46189</v>
      </c>
      <c r="B20" s="54">
        <v>0.91666666666666663</v>
      </c>
      <c r="C20" s="55" t="s">
        <v>9</v>
      </c>
      <c r="D20" s="46">
        <v>3</v>
      </c>
      <c r="E20" s="46" t="s">
        <v>1</v>
      </c>
      <c r="F20" s="46">
        <v>0</v>
      </c>
      <c r="G20" s="55" t="s">
        <v>124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Q20" s="86"/>
      <c r="R20" s="48"/>
      <c r="S20" s="48"/>
      <c r="T20" s="48"/>
      <c r="U20" s="86"/>
    </row>
    <row r="21" spans="1:21" x14ac:dyDescent="0.3">
      <c r="A21" s="53">
        <v>46190</v>
      </c>
      <c r="B21" s="54">
        <v>4.1666666666666664E-2</v>
      </c>
      <c r="C21" s="55" t="s">
        <v>125</v>
      </c>
      <c r="D21" s="46">
        <v>2</v>
      </c>
      <c r="E21" s="46" t="s">
        <v>1</v>
      </c>
      <c r="F21" s="46">
        <v>0</v>
      </c>
      <c r="G21" s="55" t="s">
        <v>126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Q21" s="86"/>
      <c r="R21" s="48"/>
      <c r="S21" s="48"/>
      <c r="T21" s="48"/>
      <c r="U21" s="86"/>
    </row>
    <row r="22" spans="1:21" x14ac:dyDescent="0.3">
      <c r="A22" s="53">
        <v>46190</v>
      </c>
      <c r="B22" s="54">
        <v>0.58333333333333337</v>
      </c>
      <c r="C22" s="55" t="s">
        <v>5</v>
      </c>
      <c r="D22" s="46">
        <v>3</v>
      </c>
      <c r="E22" s="46" t="s">
        <v>1</v>
      </c>
      <c r="F22" s="46">
        <v>0</v>
      </c>
      <c r="G22" s="55" t="s">
        <v>127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86"/>
      <c r="R22" s="48"/>
      <c r="S22" s="48"/>
      <c r="T22" s="48"/>
      <c r="U22" s="86"/>
    </row>
    <row r="23" spans="1:21" x14ac:dyDescent="0.3">
      <c r="A23" s="53">
        <v>46190</v>
      </c>
      <c r="B23" s="54">
        <v>0.70833333333333337</v>
      </c>
      <c r="C23" s="55" t="s">
        <v>18</v>
      </c>
      <c r="D23" s="46">
        <v>2</v>
      </c>
      <c r="E23" s="46" t="s">
        <v>1</v>
      </c>
      <c r="F23" s="46">
        <v>1</v>
      </c>
      <c r="G23" s="55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Q23" s="86"/>
      <c r="R23" s="48"/>
      <c r="S23" s="48"/>
      <c r="T23" s="48"/>
      <c r="U23" s="86"/>
    </row>
    <row r="24" spans="1:21" x14ac:dyDescent="0.3">
      <c r="A24" s="53">
        <v>46190</v>
      </c>
      <c r="B24" s="54">
        <v>0.83333333333333337</v>
      </c>
      <c r="C24" s="55" t="s">
        <v>106</v>
      </c>
      <c r="D24" s="46">
        <v>2</v>
      </c>
      <c r="E24" s="46" t="s">
        <v>1</v>
      </c>
      <c r="F24" s="46">
        <v>1</v>
      </c>
      <c r="G24" s="55" t="s">
        <v>130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  <c r="Q24" s="86"/>
      <c r="R24" s="48"/>
      <c r="S24" s="48"/>
      <c r="T24" s="48"/>
      <c r="U24" s="86"/>
    </row>
    <row r="25" spans="1:21" x14ac:dyDescent="0.3">
      <c r="A25" s="53">
        <v>46190</v>
      </c>
      <c r="B25" s="54">
        <v>0.95833333333333337</v>
      </c>
      <c r="C25" s="55" t="s">
        <v>128</v>
      </c>
      <c r="D25" s="46">
        <v>1</v>
      </c>
      <c r="E25" s="46" t="s">
        <v>1</v>
      </c>
      <c r="F25" s="46">
        <v>3</v>
      </c>
      <c r="G25" s="55" t="s">
        <v>129</v>
      </c>
      <c r="K25" s="8" t="str">
        <f t="shared" si="3"/>
        <v>Colômbia</v>
      </c>
      <c r="L25" s="9">
        <f t="shared" si="4"/>
        <v>3</v>
      </c>
      <c r="M25" s="9">
        <f t="shared" si="5"/>
        <v>1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9</v>
      </c>
      <c r="Q25" s="86"/>
      <c r="R25" s="48"/>
      <c r="S25" s="48"/>
      <c r="T25" s="48"/>
      <c r="U25" s="86"/>
    </row>
    <row r="26" spans="1:21" x14ac:dyDescent="0.3">
      <c r="A26" s="100">
        <v>46191</v>
      </c>
      <c r="B26" s="101">
        <v>0.54166666666666663</v>
      </c>
      <c r="C26" s="102" t="s">
        <v>111</v>
      </c>
      <c r="D26" s="103">
        <v>2</v>
      </c>
      <c r="E26" s="103" t="s">
        <v>1</v>
      </c>
      <c r="F26" s="103">
        <v>1</v>
      </c>
      <c r="G26" s="102" t="s">
        <v>88</v>
      </c>
      <c r="K26" s="8" t="str">
        <f t="shared" si="3"/>
        <v>República Tcheca</v>
      </c>
      <c r="L26" s="9">
        <f t="shared" si="4"/>
        <v>2</v>
      </c>
      <c r="M26" s="9">
        <f t="shared" si="5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86"/>
      <c r="R26" s="48"/>
      <c r="S26" s="48"/>
      <c r="T26" s="48"/>
      <c r="U26" s="86"/>
    </row>
    <row r="27" spans="1:21" x14ac:dyDescent="0.3">
      <c r="A27" s="100">
        <v>46191</v>
      </c>
      <c r="B27" s="101">
        <v>0.66666666666666663</v>
      </c>
      <c r="C27" s="102" t="s">
        <v>72</v>
      </c>
      <c r="D27" s="103">
        <v>1</v>
      </c>
      <c r="E27" s="103" t="s">
        <v>1</v>
      </c>
      <c r="F27" s="103">
        <v>1</v>
      </c>
      <c r="G27" s="102" t="s">
        <v>112</v>
      </c>
      <c r="K27" s="8" t="str">
        <f t="shared" si="3"/>
        <v>EMPATE</v>
      </c>
      <c r="L27" s="9">
        <f t="shared" si="4"/>
        <v>1</v>
      </c>
      <c r="M27" s="9">
        <f t="shared" si="5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86"/>
      <c r="R27" s="48"/>
      <c r="S27" s="48"/>
      <c r="T27" s="48"/>
      <c r="U27" s="86"/>
    </row>
    <row r="28" spans="1:21" x14ac:dyDescent="0.3">
      <c r="A28" s="100">
        <v>46191</v>
      </c>
      <c r="B28" s="101">
        <v>0.79166666666666663</v>
      </c>
      <c r="C28" s="102" t="s">
        <v>105</v>
      </c>
      <c r="D28" s="103">
        <v>1</v>
      </c>
      <c r="E28" s="103" t="s">
        <v>1</v>
      </c>
      <c r="F28" s="103">
        <v>1</v>
      </c>
      <c r="G28" s="102" t="s">
        <v>97</v>
      </c>
      <c r="K28" s="8" t="str">
        <f t="shared" si="3"/>
        <v>EMPATE</v>
      </c>
      <c r="L28" s="9">
        <f t="shared" si="4"/>
        <v>1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0</v>
      </c>
      <c r="Q28" s="86"/>
      <c r="R28" s="48"/>
      <c r="S28" s="48"/>
      <c r="T28" s="48"/>
      <c r="U28" s="86"/>
    </row>
    <row r="29" spans="1:21" x14ac:dyDescent="0.3">
      <c r="A29" s="100">
        <v>46191</v>
      </c>
      <c r="B29" s="101">
        <v>0.91666666666666663</v>
      </c>
      <c r="C29" s="102" t="s">
        <v>13</v>
      </c>
      <c r="D29" s="103">
        <v>1</v>
      </c>
      <c r="E29" s="103" t="s">
        <v>1</v>
      </c>
      <c r="F29" s="103">
        <v>1</v>
      </c>
      <c r="G29" s="102" t="s">
        <v>15</v>
      </c>
      <c r="K29" s="8" t="str">
        <f t="shared" si="3"/>
        <v>EMPATE</v>
      </c>
      <c r="L29" s="9">
        <f t="shared" si="4"/>
        <v>1</v>
      </c>
      <c r="M29" s="9">
        <f t="shared" si="5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Q29" s="86"/>
      <c r="R29" s="48"/>
      <c r="S29" s="48"/>
      <c r="T29" s="48"/>
      <c r="U29" s="86"/>
    </row>
    <row r="30" spans="1:21" x14ac:dyDescent="0.3">
      <c r="A30" s="100">
        <v>46192</v>
      </c>
      <c r="B30" s="101">
        <v>0.66666666666666663</v>
      </c>
      <c r="C30" s="102" t="s">
        <v>104</v>
      </c>
      <c r="D30" s="103">
        <v>2</v>
      </c>
      <c r="E30" s="103" t="s">
        <v>1</v>
      </c>
      <c r="F30" s="103">
        <v>2</v>
      </c>
      <c r="G30" s="102" t="s">
        <v>8</v>
      </c>
      <c r="K30" s="8" t="str">
        <f t="shared" si="3"/>
        <v>EMPATE</v>
      </c>
      <c r="L30" s="9">
        <f t="shared" si="4"/>
        <v>2</v>
      </c>
      <c r="M30" s="9">
        <f t="shared" si="5"/>
        <v>2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0</v>
      </c>
      <c r="Q30" s="86"/>
      <c r="R30" s="48"/>
      <c r="S30" s="48"/>
      <c r="T30" s="48"/>
      <c r="U30" s="86"/>
    </row>
    <row r="31" spans="1:21" x14ac:dyDescent="0.3">
      <c r="A31" s="100">
        <v>46192</v>
      </c>
      <c r="B31" s="101">
        <v>0.79166666666666663</v>
      </c>
      <c r="C31" s="102" t="s">
        <v>114</v>
      </c>
      <c r="D31" s="103">
        <v>1</v>
      </c>
      <c r="E31" s="103" t="s">
        <v>1</v>
      </c>
      <c r="F31" s="103">
        <v>2</v>
      </c>
      <c r="G31" s="102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Q31" s="86"/>
      <c r="R31" s="48"/>
      <c r="S31" s="48"/>
      <c r="T31" s="112"/>
      <c r="U31" s="86"/>
    </row>
    <row r="32" spans="1:21" x14ac:dyDescent="0.3">
      <c r="A32" s="100">
        <v>46192</v>
      </c>
      <c r="B32" s="101">
        <v>0.89583333333333337</v>
      </c>
      <c r="C32" s="102" t="s">
        <v>11</v>
      </c>
      <c r="D32" s="103">
        <v>2</v>
      </c>
      <c r="E32" s="103" t="s">
        <v>1</v>
      </c>
      <c r="F32" s="103">
        <v>0</v>
      </c>
      <c r="G32" s="102" t="s">
        <v>113</v>
      </c>
      <c r="K32" s="8" t="str">
        <f t="shared" si="3"/>
        <v>Brasil</v>
      </c>
      <c r="L32" s="9">
        <f t="shared" si="4"/>
        <v>2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Q32" s="86"/>
      <c r="R32" s="48"/>
      <c r="S32" s="48"/>
      <c r="T32" s="48"/>
      <c r="U32" s="86"/>
    </row>
    <row r="33" spans="1:21" x14ac:dyDescent="0.3">
      <c r="A33" s="100">
        <v>46193</v>
      </c>
      <c r="B33" s="101">
        <v>4.1666666666666664E-2</v>
      </c>
      <c r="C33" s="102" t="s">
        <v>116</v>
      </c>
      <c r="D33" s="103">
        <v>1</v>
      </c>
      <c r="E33" s="103" t="s">
        <v>1</v>
      </c>
      <c r="F33" s="103">
        <v>1</v>
      </c>
      <c r="G33" s="102" t="s">
        <v>115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86"/>
      <c r="R33" s="48"/>
      <c r="S33" s="48"/>
      <c r="T33" s="48"/>
      <c r="U33" s="86"/>
    </row>
    <row r="34" spans="1:21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2</v>
      </c>
      <c r="G34" s="102" t="s">
        <v>14</v>
      </c>
      <c r="K34" s="8" t="str">
        <f t="shared" si="3"/>
        <v>EMPATE</v>
      </c>
      <c r="L34" s="9">
        <f t="shared" si="4"/>
        <v>2</v>
      </c>
      <c r="M34" s="9">
        <f t="shared" si="5"/>
        <v>2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  <c r="Q34" s="86"/>
      <c r="R34" s="48"/>
      <c r="S34" s="48"/>
      <c r="T34" s="48"/>
      <c r="U34" s="86"/>
    </row>
    <row r="35" spans="1:21" x14ac:dyDescent="0.3">
      <c r="A35" s="100">
        <v>46193</v>
      </c>
      <c r="B35" s="101">
        <v>0.70833333333333337</v>
      </c>
      <c r="C35" s="102" t="s">
        <v>12</v>
      </c>
      <c r="D35" s="103">
        <v>3</v>
      </c>
      <c r="E35" s="103" t="s">
        <v>1</v>
      </c>
      <c r="F35" s="103">
        <v>0</v>
      </c>
      <c r="G35" s="102" t="s">
        <v>118</v>
      </c>
      <c r="K35" s="8" t="str">
        <f t="shared" si="3"/>
        <v>Alemanha</v>
      </c>
      <c r="L35" s="9">
        <f t="shared" si="4"/>
        <v>3</v>
      </c>
      <c r="M35" s="9">
        <f t="shared" si="5"/>
        <v>0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3</v>
      </c>
      <c r="Q35" s="86"/>
      <c r="R35" s="48"/>
      <c r="S35" s="48"/>
      <c r="T35" s="48"/>
      <c r="U35" s="86"/>
    </row>
    <row r="36" spans="1:21" x14ac:dyDescent="0.3">
      <c r="A36" s="100">
        <v>46193</v>
      </c>
      <c r="B36" s="101">
        <v>0.875</v>
      </c>
      <c r="C36" s="102" t="s">
        <v>102</v>
      </c>
      <c r="D36" s="103">
        <v>2</v>
      </c>
      <c r="E36" s="103" t="s">
        <v>1</v>
      </c>
      <c r="F36" s="103">
        <v>0</v>
      </c>
      <c r="G36" s="102" t="s">
        <v>117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86"/>
      <c r="R36" s="48"/>
      <c r="S36" s="48"/>
      <c r="T36" s="48"/>
      <c r="U36" s="86"/>
    </row>
    <row r="37" spans="1:21" x14ac:dyDescent="0.3">
      <c r="A37" s="100">
        <v>46194</v>
      </c>
      <c r="B37" s="101">
        <v>4.1666666666666664E-2</v>
      </c>
      <c r="C37" s="102" t="s">
        <v>17</v>
      </c>
      <c r="D37" s="103">
        <v>1</v>
      </c>
      <c r="E37" s="103" t="s">
        <v>1</v>
      </c>
      <c r="F37" s="103">
        <v>2</v>
      </c>
      <c r="G37" s="102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86"/>
      <c r="R37" s="48"/>
      <c r="S37" s="48"/>
      <c r="T37" s="48"/>
      <c r="U37" s="86"/>
    </row>
    <row r="38" spans="1:21" x14ac:dyDescent="0.3">
      <c r="A38" s="100">
        <v>46194</v>
      </c>
      <c r="B38" s="101">
        <v>0.54166666666666663</v>
      </c>
      <c r="C38" s="102" t="s">
        <v>6</v>
      </c>
      <c r="D38" s="103">
        <v>2</v>
      </c>
      <c r="E38" s="103" t="s">
        <v>1</v>
      </c>
      <c r="F38" s="103">
        <v>0</v>
      </c>
      <c r="G38" s="102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86"/>
      <c r="R38" s="48"/>
      <c r="S38" s="48"/>
      <c r="T38" s="48"/>
      <c r="U38" s="86"/>
    </row>
    <row r="39" spans="1:21" x14ac:dyDescent="0.3">
      <c r="A39" s="100">
        <v>46194</v>
      </c>
      <c r="B39" s="101">
        <v>0.66666666666666663</v>
      </c>
      <c r="C39" s="102" t="s">
        <v>16</v>
      </c>
      <c r="D39" s="103">
        <v>1</v>
      </c>
      <c r="E39" s="103" t="s">
        <v>1</v>
      </c>
      <c r="F39" s="103">
        <v>1</v>
      </c>
      <c r="G39" s="102" t="s">
        <v>103</v>
      </c>
      <c r="K39" s="8" t="str">
        <f t="shared" si="3"/>
        <v>EMPATE</v>
      </c>
      <c r="L39" s="9">
        <f t="shared" si="4"/>
        <v>1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6</v>
      </c>
      <c r="Q39" s="86"/>
      <c r="R39" s="48"/>
      <c r="S39" s="48"/>
      <c r="T39" s="48"/>
      <c r="U39" s="86"/>
    </row>
    <row r="40" spans="1:21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0</v>
      </c>
      <c r="G40" s="102" t="s">
        <v>121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86"/>
      <c r="R40" s="48"/>
      <c r="S40" s="48"/>
      <c r="T40" s="48"/>
      <c r="U40" s="86"/>
    </row>
    <row r="41" spans="1:21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1</v>
      </c>
      <c r="G41" s="102" t="s">
        <v>119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86"/>
      <c r="R41" s="48"/>
      <c r="S41" s="48"/>
      <c r="T41" s="48"/>
      <c r="U41" s="86"/>
    </row>
    <row r="42" spans="1:21" x14ac:dyDescent="0.3">
      <c r="A42" s="100">
        <v>46195</v>
      </c>
      <c r="B42" s="101">
        <v>0.58333333333333337</v>
      </c>
      <c r="C42" s="102" t="s">
        <v>9</v>
      </c>
      <c r="D42" s="103">
        <v>2</v>
      </c>
      <c r="E42" s="103" t="s">
        <v>1</v>
      </c>
      <c r="F42" s="103">
        <v>1</v>
      </c>
      <c r="G42" s="102" t="s">
        <v>125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86"/>
      <c r="R42" s="48"/>
      <c r="S42" s="48"/>
      <c r="T42" s="48"/>
      <c r="U42" s="86"/>
    </row>
    <row r="43" spans="1:21" x14ac:dyDescent="0.3">
      <c r="A43" s="100">
        <v>46195</v>
      </c>
      <c r="B43" s="101">
        <v>0.75</v>
      </c>
      <c r="C43" s="102" t="s">
        <v>7</v>
      </c>
      <c r="D43" s="103">
        <v>3</v>
      </c>
      <c r="E43" s="103" t="s">
        <v>1</v>
      </c>
      <c r="F43" s="103">
        <v>0</v>
      </c>
      <c r="G43" s="102" t="s">
        <v>122</v>
      </c>
      <c r="K43" s="8" t="str">
        <f t="shared" si="3"/>
        <v>França</v>
      </c>
      <c r="L43" s="9">
        <f t="shared" si="4"/>
        <v>3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9</v>
      </c>
      <c r="Q43" s="86"/>
      <c r="R43" s="48"/>
      <c r="S43" s="48"/>
      <c r="T43" s="48"/>
      <c r="U43" s="86"/>
    </row>
    <row r="44" spans="1:21" x14ac:dyDescent="0.3">
      <c r="A44" s="100">
        <v>46195</v>
      </c>
      <c r="B44" s="101">
        <v>0.875</v>
      </c>
      <c r="C44" s="102" t="s">
        <v>123</v>
      </c>
      <c r="D44" s="103">
        <v>2</v>
      </c>
      <c r="E44" s="103" t="s">
        <v>1</v>
      </c>
      <c r="F44" s="103">
        <v>1</v>
      </c>
      <c r="G44" s="102" t="s">
        <v>20</v>
      </c>
      <c r="K44" s="8" t="str">
        <f t="shared" si="3"/>
        <v>Noruega</v>
      </c>
      <c r="L44" s="9">
        <f t="shared" si="4"/>
        <v>2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86"/>
      <c r="R44" s="48"/>
      <c r="S44" s="48"/>
      <c r="T44" s="48"/>
      <c r="U44" s="86"/>
    </row>
    <row r="45" spans="1:21" x14ac:dyDescent="0.3">
      <c r="A45" s="100">
        <v>46196</v>
      </c>
      <c r="B45" s="101">
        <v>0</v>
      </c>
      <c r="C45" s="102" t="s">
        <v>126</v>
      </c>
      <c r="D45" s="103">
        <v>1</v>
      </c>
      <c r="E45" s="103" t="s">
        <v>1</v>
      </c>
      <c r="F45" s="103">
        <v>1</v>
      </c>
      <c r="G45" s="102" t="s">
        <v>124</v>
      </c>
      <c r="K45" s="8" t="str">
        <f t="shared" si="3"/>
        <v>EMPATE</v>
      </c>
      <c r="L45" s="9">
        <f t="shared" si="4"/>
        <v>1</v>
      </c>
      <c r="M45" s="9">
        <f t="shared" si="5"/>
        <v>1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0</v>
      </c>
      <c r="Q45" s="86"/>
      <c r="R45" s="48"/>
      <c r="S45" s="48"/>
      <c r="T45" s="48"/>
      <c r="U45" s="86"/>
    </row>
    <row r="46" spans="1:21" ht="15" customHeight="1" x14ac:dyDescent="0.3">
      <c r="A46" s="100">
        <v>46196</v>
      </c>
      <c r="B46" s="101">
        <v>0.58333333333333337</v>
      </c>
      <c r="C46" s="102" t="s">
        <v>5</v>
      </c>
      <c r="D46" s="103">
        <v>3</v>
      </c>
      <c r="E46" s="103" t="s">
        <v>1</v>
      </c>
      <c r="F46" s="103">
        <v>0</v>
      </c>
      <c r="G46" s="102" t="s">
        <v>128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4</v>
      </c>
      <c r="Q46" s="86"/>
      <c r="R46" s="48"/>
      <c r="S46" s="48"/>
      <c r="T46" s="48"/>
      <c r="U46" s="86"/>
    </row>
    <row r="47" spans="1:21" x14ac:dyDescent="0.3">
      <c r="A47" s="100">
        <v>46196</v>
      </c>
      <c r="B47" s="101">
        <v>0.70833333333333337</v>
      </c>
      <c r="C47" s="102" t="s">
        <v>18</v>
      </c>
      <c r="D47" s="103">
        <v>2</v>
      </c>
      <c r="E47" s="103" t="s">
        <v>1</v>
      </c>
      <c r="F47" s="103">
        <v>0</v>
      </c>
      <c r="G47" s="102" t="s">
        <v>106</v>
      </c>
      <c r="K47" s="8" t="str">
        <f t="shared" si="3"/>
        <v>Inglaterra</v>
      </c>
      <c r="L47" s="9">
        <f t="shared" si="4"/>
        <v>2</v>
      </c>
      <c r="M47" s="9">
        <f t="shared" si="5"/>
        <v>0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  <c r="Q47" s="86"/>
      <c r="R47" s="48"/>
      <c r="S47" s="48"/>
      <c r="T47" s="48"/>
      <c r="U47" s="86"/>
    </row>
    <row r="48" spans="1:21" x14ac:dyDescent="0.3">
      <c r="A48" s="100">
        <v>46196</v>
      </c>
      <c r="B48" s="101">
        <v>0.83333333333333337</v>
      </c>
      <c r="C48" s="102" t="s">
        <v>130</v>
      </c>
      <c r="D48" s="103">
        <v>0</v>
      </c>
      <c r="E48" s="103" t="s">
        <v>1</v>
      </c>
      <c r="F48" s="103">
        <v>2</v>
      </c>
      <c r="G48" s="102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4</v>
      </c>
      <c r="Q48" s="86"/>
      <c r="R48" s="48"/>
      <c r="S48" s="48"/>
      <c r="T48" s="48"/>
      <c r="U48" s="86"/>
    </row>
    <row r="49" spans="1:21" x14ac:dyDescent="0.3">
      <c r="A49" s="104">
        <v>46196</v>
      </c>
      <c r="B49" s="101">
        <v>0.95833333333333337</v>
      </c>
      <c r="C49" s="105" t="s">
        <v>129</v>
      </c>
      <c r="D49" s="106">
        <v>3</v>
      </c>
      <c r="E49" s="106" t="s">
        <v>1</v>
      </c>
      <c r="F49" s="106">
        <v>0</v>
      </c>
      <c r="G49" s="105" t="s">
        <v>127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4</v>
      </c>
      <c r="Q49" s="86"/>
      <c r="R49" s="48"/>
      <c r="S49" s="48"/>
      <c r="T49" s="48"/>
      <c r="U49" s="86"/>
    </row>
    <row r="50" spans="1:21" x14ac:dyDescent="0.3">
      <c r="A50" s="56">
        <v>46197</v>
      </c>
      <c r="B50" s="54">
        <v>0.66666666666666663</v>
      </c>
      <c r="C50" s="57" t="s">
        <v>72</v>
      </c>
      <c r="D50" s="58">
        <v>1</v>
      </c>
      <c r="E50" s="58" t="s">
        <v>1</v>
      </c>
      <c r="F50" s="58">
        <v>1</v>
      </c>
      <c r="G50" s="57" t="s">
        <v>105</v>
      </c>
      <c r="K50" s="8" t="str">
        <f t="shared" si="3"/>
        <v>EMPATE</v>
      </c>
      <c r="L50" s="9">
        <f t="shared" si="4"/>
        <v>1</v>
      </c>
      <c r="M50" s="9">
        <f t="shared" si="5"/>
        <v>1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0</v>
      </c>
      <c r="Q50" s="86"/>
      <c r="R50" s="48"/>
      <c r="S50" s="48"/>
      <c r="T50" s="48"/>
      <c r="U50" s="86"/>
    </row>
    <row r="51" spans="1:21" x14ac:dyDescent="0.3">
      <c r="A51" s="56">
        <v>46197</v>
      </c>
      <c r="B51" s="54">
        <v>0.66666666666666663</v>
      </c>
      <c r="C51" s="57" t="s">
        <v>112</v>
      </c>
      <c r="D51" s="58">
        <v>2</v>
      </c>
      <c r="E51" s="58" t="s">
        <v>1</v>
      </c>
      <c r="F51" s="58">
        <v>1</v>
      </c>
      <c r="G51" s="57" t="s">
        <v>97</v>
      </c>
      <c r="K51" s="8" t="str">
        <f t="shared" si="3"/>
        <v>Bósnia</v>
      </c>
      <c r="L51" s="9">
        <f t="shared" si="4"/>
        <v>2</v>
      </c>
      <c r="M51" s="9">
        <f t="shared" si="5"/>
        <v>1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4</v>
      </c>
      <c r="Q51" s="86"/>
      <c r="R51" s="48"/>
      <c r="S51" s="48"/>
      <c r="T51" s="48"/>
      <c r="U51" s="86"/>
    </row>
    <row r="52" spans="1:21" x14ac:dyDescent="0.3">
      <c r="A52" s="56">
        <v>46197</v>
      </c>
      <c r="B52" s="54">
        <v>0.79166666666666663</v>
      </c>
      <c r="C52" s="59" t="s">
        <v>4</v>
      </c>
      <c r="D52" s="58">
        <v>2</v>
      </c>
      <c r="E52" s="58" t="s">
        <v>1</v>
      </c>
      <c r="F52" s="58">
        <v>0</v>
      </c>
      <c r="G52" s="59" t="s">
        <v>113</v>
      </c>
      <c r="K52" s="8" t="str">
        <f t="shared" si="3"/>
        <v>Marrocos</v>
      </c>
      <c r="L52" s="9">
        <f t="shared" si="4"/>
        <v>2</v>
      </c>
      <c r="M52" s="9">
        <f t="shared" si="5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</row>
    <row r="53" spans="1:21" x14ac:dyDescent="0.3">
      <c r="A53" s="56">
        <v>46197</v>
      </c>
      <c r="B53" s="54">
        <v>0.79166666666666663</v>
      </c>
      <c r="C53" s="59" t="s">
        <v>114</v>
      </c>
      <c r="D53" s="58">
        <v>0</v>
      </c>
      <c r="E53" s="58" t="s">
        <v>1</v>
      </c>
      <c r="F53" s="58">
        <v>2</v>
      </c>
      <c r="G53" s="59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0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4</v>
      </c>
      <c r="Q53" s="117"/>
      <c r="R53" s="48"/>
      <c r="S53" s="48"/>
      <c r="T53" s="48"/>
      <c r="U53" s="117"/>
    </row>
    <row r="54" spans="1:21" x14ac:dyDescent="0.3">
      <c r="A54" s="53">
        <v>46197</v>
      </c>
      <c r="B54" s="54">
        <v>0.91666666666666663</v>
      </c>
      <c r="C54" s="55" t="s">
        <v>88</v>
      </c>
      <c r="D54" s="46">
        <v>1</v>
      </c>
      <c r="E54" s="46" t="s">
        <v>1</v>
      </c>
      <c r="F54" s="46">
        <v>2</v>
      </c>
      <c r="G54" s="55" t="s">
        <v>15</v>
      </c>
      <c r="K54" s="8" t="str">
        <f t="shared" si="3"/>
        <v>Coréia do Sul</v>
      </c>
      <c r="L54" s="9">
        <f t="shared" si="4"/>
        <v>2</v>
      </c>
      <c r="M54" s="9">
        <f t="shared" si="5"/>
        <v>1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</row>
    <row r="55" spans="1:21" x14ac:dyDescent="0.3">
      <c r="A55" s="53">
        <v>46197</v>
      </c>
      <c r="B55" s="54">
        <v>0.91666666666666663</v>
      </c>
      <c r="C55" s="55" t="s">
        <v>111</v>
      </c>
      <c r="D55" s="46">
        <v>0</v>
      </c>
      <c r="E55" s="46" t="s">
        <v>1</v>
      </c>
      <c r="F55" s="46">
        <v>1</v>
      </c>
      <c r="G55" s="55" t="s">
        <v>13</v>
      </c>
      <c r="K55" s="8" t="str">
        <f t="shared" si="3"/>
        <v>México</v>
      </c>
      <c r="L55" s="9">
        <f t="shared" si="4"/>
        <v>1</v>
      </c>
      <c r="M55" s="9">
        <f t="shared" si="5"/>
        <v>0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4</v>
      </c>
      <c r="Q55" s="86"/>
      <c r="R55" s="48"/>
      <c r="S55" s="48"/>
      <c r="T55" s="48"/>
      <c r="U55" s="86"/>
    </row>
    <row r="56" spans="1:21" x14ac:dyDescent="0.3">
      <c r="A56" s="53">
        <v>46198</v>
      </c>
      <c r="B56" s="54">
        <v>0.70833333333333337</v>
      </c>
      <c r="C56" s="45" t="s">
        <v>102</v>
      </c>
      <c r="D56" s="46">
        <v>0</v>
      </c>
      <c r="E56" s="46" t="s">
        <v>1</v>
      </c>
      <c r="F56" s="46">
        <v>3</v>
      </c>
      <c r="G56" s="45" t="s">
        <v>12</v>
      </c>
      <c r="K56" s="8" t="str">
        <f t="shared" si="3"/>
        <v>Alemanha</v>
      </c>
      <c r="L56" s="9">
        <f t="shared" si="4"/>
        <v>3</v>
      </c>
      <c r="M56" s="9">
        <f t="shared" si="5"/>
        <v>0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</row>
    <row r="57" spans="1:21" x14ac:dyDescent="0.3">
      <c r="A57" s="53">
        <v>46198</v>
      </c>
      <c r="B57" s="54">
        <v>0.70833333333333337</v>
      </c>
      <c r="C57" s="45" t="s">
        <v>117</v>
      </c>
      <c r="D57" s="46">
        <v>1</v>
      </c>
      <c r="E57" s="46" t="s">
        <v>1</v>
      </c>
      <c r="F57" s="46">
        <v>3</v>
      </c>
      <c r="G57" s="45" t="s">
        <v>118</v>
      </c>
      <c r="K57" s="8" t="str">
        <f t="shared" si="3"/>
        <v>Costa do Marfim</v>
      </c>
      <c r="L57" s="9">
        <f t="shared" si="4"/>
        <v>3</v>
      </c>
      <c r="M57" s="9">
        <f t="shared" si="5"/>
        <v>1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3</v>
      </c>
      <c r="Q57" s="117"/>
      <c r="R57" s="48"/>
      <c r="S57" s="48"/>
      <c r="T57" s="48"/>
      <c r="U57" s="117"/>
    </row>
    <row r="58" spans="1:21" x14ac:dyDescent="0.3">
      <c r="A58" s="53">
        <v>46198</v>
      </c>
      <c r="B58" s="54">
        <v>0.83333333333333337</v>
      </c>
      <c r="C58" s="45" t="s">
        <v>17</v>
      </c>
      <c r="D58" s="46">
        <v>0</v>
      </c>
      <c r="E58" s="46" t="s">
        <v>1</v>
      </c>
      <c r="F58" s="46">
        <v>3</v>
      </c>
      <c r="G58" s="45" t="s">
        <v>78</v>
      </c>
      <c r="K58" s="8" t="str">
        <f t="shared" si="3"/>
        <v>Holanda</v>
      </c>
      <c r="L58" s="9">
        <f t="shared" si="4"/>
        <v>3</v>
      </c>
      <c r="M58" s="9">
        <f t="shared" si="5"/>
        <v>0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6</v>
      </c>
      <c r="Q58" s="117"/>
      <c r="R58" s="48"/>
      <c r="S58" s="48"/>
      <c r="T58" s="48"/>
      <c r="U58" s="117"/>
    </row>
    <row r="59" spans="1:21" x14ac:dyDescent="0.3">
      <c r="A59" s="53">
        <v>46198</v>
      </c>
      <c r="B59" s="54">
        <v>0.83333333333333337</v>
      </c>
      <c r="C59" s="45" t="s">
        <v>19</v>
      </c>
      <c r="D59" s="46">
        <v>2</v>
      </c>
      <c r="E59" s="46" t="s">
        <v>1</v>
      </c>
      <c r="F59" s="46">
        <v>1</v>
      </c>
      <c r="G59" s="45" t="s">
        <v>14</v>
      </c>
      <c r="K59" s="8" t="str">
        <f t="shared" si="3"/>
        <v>Japão</v>
      </c>
      <c r="L59" s="9">
        <f t="shared" si="4"/>
        <v>2</v>
      </c>
      <c r="M59" s="9">
        <f t="shared" si="5"/>
        <v>1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0</v>
      </c>
      <c r="Q59" s="117"/>
      <c r="R59" s="48"/>
      <c r="S59" s="48"/>
      <c r="T59" s="48"/>
      <c r="U59" s="117"/>
    </row>
    <row r="60" spans="1:21" x14ac:dyDescent="0.3">
      <c r="A60" s="53">
        <v>46198</v>
      </c>
      <c r="B60" s="54">
        <v>0.95833333333333337</v>
      </c>
      <c r="C60" s="45" t="s">
        <v>116</v>
      </c>
      <c r="D60" s="46">
        <v>0</v>
      </c>
      <c r="E60" s="46" t="s">
        <v>1</v>
      </c>
      <c r="F60" s="46">
        <v>2</v>
      </c>
      <c r="G60" s="45" t="s">
        <v>104</v>
      </c>
      <c r="K60" s="8" t="str">
        <f t="shared" si="3"/>
        <v>Estados Unidos</v>
      </c>
      <c r="L60" s="9">
        <f t="shared" si="4"/>
        <v>2</v>
      </c>
      <c r="M60" s="9">
        <f t="shared" si="5"/>
        <v>0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</row>
    <row r="61" spans="1:21" x14ac:dyDescent="0.3">
      <c r="A61" s="53">
        <v>46198</v>
      </c>
      <c r="B61" s="54">
        <v>0.95833333333333337</v>
      </c>
      <c r="C61" s="45" t="s">
        <v>115</v>
      </c>
      <c r="D61" s="46">
        <v>1</v>
      </c>
      <c r="E61" s="46" t="s">
        <v>1</v>
      </c>
      <c r="F61" s="46">
        <v>2</v>
      </c>
      <c r="G61" s="45" t="s">
        <v>8</v>
      </c>
      <c r="K61" s="8" t="str">
        <f t="shared" si="3"/>
        <v>Austrália</v>
      </c>
      <c r="L61" s="9">
        <f t="shared" si="4"/>
        <v>2</v>
      </c>
      <c r="M61" s="9">
        <f t="shared" si="5"/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0</v>
      </c>
      <c r="Q61" s="117"/>
      <c r="R61" s="48"/>
      <c r="S61" s="48"/>
      <c r="T61" s="48"/>
      <c r="U61" s="117"/>
    </row>
    <row r="62" spans="1:21" x14ac:dyDescent="0.3">
      <c r="A62" s="53">
        <v>46199</v>
      </c>
      <c r="B62" s="54">
        <v>0.66666666666666663</v>
      </c>
      <c r="C62" s="45" t="s">
        <v>20</v>
      </c>
      <c r="D62" s="46">
        <v>2</v>
      </c>
      <c r="E62" s="46" t="s">
        <v>1</v>
      </c>
      <c r="F62" s="46">
        <v>1</v>
      </c>
      <c r="G62" s="45" t="s">
        <v>122</v>
      </c>
      <c r="K62" s="8" t="str">
        <f t="shared" si="3"/>
        <v>Senegal</v>
      </c>
      <c r="L62" s="9">
        <f t="shared" si="4"/>
        <v>2</v>
      </c>
      <c r="M62" s="9">
        <f t="shared" si="5"/>
        <v>1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3</v>
      </c>
      <c r="Q62" s="117"/>
      <c r="R62" s="48"/>
      <c r="S62" s="48"/>
      <c r="T62" s="48"/>
      <c r="U62" s="117"/>
    </row>
    <row r="63" spans="1:21" x14ac:dyDescent="0.3">
      <c r="A63" s="53">
        <v>46199</v>
      </c>
      <c r="B63" s="54">
        <v>0.66666666666666663</v>
      </c>
      <c r="C63" s="45" t="s">
        <v>123</v>
      </c>
      <c r="D63" s="46">
        <v>2</v>
      </c>
      <c r="E63" s="46" t="s">
        <v>1</v>
      </c>
      <c r="F63" s="46">
        <v>2</v>
      </c>
      <c r="G63" s="45" t="s">
        <v>7</v>
      </c>
      <c r="K63" s="8" t="str">
        <f t="shared" si="3"/>
        <v>EMPATE</v>
      </c>
      <c r="L63" s="9">
        <f t="shared" si="4"/>
        <v>2</v>
      </c>
      <c r="M63" s="9">
        <f t="shared" si="5"/>
        <v>2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0</v>
      </c>
      <c r="Q63" s="117"/>
      <c r="R63" s="48"/>
      <c r="S63" s="48"/>
      <c r="T63" s="48"/>
      <c r="U63" s="117"/>
    </row>
    <row r="64" spans="1:21" x14ac:dyDescent="0.3">
      <c r="A64" s="53">
        <v>46199</v>
      </c>
      <c r="B64" s="54">
        <v>0.875</v>
      </c>
      <c r="C64" s="45" t="s">
        <v>121</v>
      </c>
      <c r="D64" s="46">
        <v>2</v>
      </c>
      <c r="E64" s="46" t="s">
        <v>1</v>
      </c>
      <c r="F64" s="46">
        <v>0</v>
      </c>
      <c r="G64" s="45" t="s">
        <v>2</v>
      </c>
      <c r="K64" s="8" t="str">
        <f t="shared" si="3"/>
        <v>Cabo Verde</v>
      </c>
      <c r="L64" s="9">
        <f t="shared" si="4"/>
        <v>2</v>
      </c>
      <c r="M64" s="9">
        <f t="shared" si="5"/>
        <v>0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0</v>
      </c>
      <c r="Q64" s="117"/>
      <c r="R64" s="48"/>
      <c r="S64" s="48"/>
      <c r="T64" s="48"/>
      <c r="U64" s="117"/>
    </row>
    <row r="65" spans="1:26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1</v>
      </c>
      <c r="G65" s="45" t="s">
        <v>6</v>
      </c>
      <c r="K65" s="8" t="str">
        <f t="shared" si="3"/>
        <v>EMPATE</v>
      </c>
      <c r="L65" s="9">
        <f t="shared" si="4"/>
        <v>1</v>
      </c>
      <c r="M65" s="9">
        <f t="shared" si="5"/>
        <v>1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0</v>
      </c>
      <c r="Q65" s="117"/>
      <c r="R65" s="48"/>
      <c r="S65" s="48"/>
      <c r="T65" s="48"/>
      <c r="U65" s="117"/>
    </row>
    <row r="66" spans="1:26" x14ac:dyDescent="0.3">
      <c r="A66" s="53">
        <v>46200</v>
      </c>
      <c r="B66" s="54">
        <v>0</v>
      </c>
      <c r="C66" s="45" t="s">
        <v>119</v>
      </c>
      <c r="D66" s="46">
        <v>1</v>
      </c>
      <c r="E66" s="46" t="s">
        <v>1</v>
      </c>
      <c r="F66" s="46">
        <v>1</v>
      </c>
      <c r="G66" s="45" t="s">
        <v>103</v>
      </c>
      <c r="K66" s="8" t="str">
        <f t="shared" si="3"/>
        <v>EMPATE</v>
      </c>
      <c r="L66" s="9">
        <f t="shared" si="4"/>
        <v>1</v>
      </c>
      <c r="M66" s="9">
        <f t="shared" si="5"/>
        <v>1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9</v>
      </c>
      <c r="Q66" s="117"/>
      <c r="R66" s="48"/>
      <c r="S66" s="48"/>
      <c r="T66" s="48"/>
      <c r="U66" s="117"/>
    </row>
    <row r="67" spans="1:26" x14ac:dyDescent="0.3">
      <c r="A67" s="53">
        <v>46200</v>
      </c>
      <c r="B67" s="54">
        <v>0</v>
      </c>
      <c r="C67" s="45" t="s">
        <v>120</v>
      </c>
      <c r="D67" s="46">
        <v>1</v>
      </c>
      <c r="E67" s="46" t="s">
        <v>1</v>
      </c>
      <c r="F67" s="46">
        <v>2</v>
      </c>
      <c r="G67" s="45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1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4</v>
      </c>
      <c r="Q67" s="117"/>
      <c r="R67" s="48"/>
      <c r="S67" s="48"/>
      <c r="T67" s="48"/>
      <c r="U67" s="117"/>
    </row>
    <row r="68" spans="1:26" x14ac:dyDescent="0.3">
      <c r="A68" s="53">
        <v>46200</v>
      </c>
      <c r="B68" s="54">
        <v>0.75</v>
      </c>
      <c r="C68" s="45" t="s">
        <v>10</v>
      </c>
      <c r="D68" s="46">
        <v>2</v>
      </c>
      <c r="E68" s="46" t="s">
        <v>1</v>
      </c>
      <c r="F68" s="46">
        <v>1</v>
      </c>
      <c r="G68" s="45" t="s">
        <v>106</v>
      </c>
      <c r="K68" s="8" t="str">
        <f t="shared" ref="K68:K105" si="7">IF(D68="","",IF(D68&gt;F68,C68,IF(F68&gt;D68,G68,"EMPATE")))</f>
        <v>Croácia</v>
      </c>
      <c r="L68" s="9">
        <f t="shared" ref="L68:L105" si="8">IF(D68="","",IF(D68&gt;F68,D68,IF(F68&gt;D68,F68,D68)))</f>
        <v>2</v>
      </c>
      <c r="M68" s="9">
        <f t="shared" ref="M68:M105" si="9">IF(D68="","",IF(D68&lt;F68,D68,IF(F68&lt;D68,F68,D68)))</f>
        <v>1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9</v>
      </c>
      <c r="Q68" s="117"/>
      <c r="R68" s="48"/>
      <c r="S68" s="48"/>
      <c r="T68" s="48"/>
      <c r="U68" s="117"/>
    </row>
    <row r="69" spans="1:26" x14ac:dyDescent="0.3">
      <c r="A69" s="53">
        <v>46200</v>
      </c>
      <c r="B69" s="54">
        <v>0.75</v>
      </c>
      <c r="C69" s="45" t="s">
        <v>130</v>
      </c>
      <c r="D69" s="46">
        <v>0</v>
      </c>
      <c r="E69" s="46" t="s">
        <v>1</v>
      </c>
      <c r="F69" s="46">
        <v>2</v>
      </c>
      <c r="G69" s="45" t="s">
        <v>18</v>
      </c>
      <c r="K69" s="8" t="str">
        <f t="shared" si="7"/>
        <v>Inglaterra</v>
      </c>
      <c r="L69" s="9">
        <f t="shared" si="8"/>
        <v>2</v>
      </c>
      <c r="M69" s="9">
        <f t="shared" si="9"/>
        <v>0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9</v>
      </c>
      <c r="Q69" s="117"/>
      <c r="R69" s="48"/>
      <c r="S69" s="48"/>
      <c r="T69" s="48"/>
      <c r="U69" s="117"/>
    </row>
    <row r="70" spans="1:26" x14ac:dyDescent="0.3">
      <c r="A70" s="53">
        <v>46200</v>
      </c>
      <c r="B70" s="54">
        <v>0.85416666666666663</v>
      </c>
      <c r="C70" s="45" t="s">
        <v>127</v>
      </c>
      <c r="D70" s="46">
        <v>1</v>
      </c>
      <c r="E70" s="46" t="s">
        <v>1</v>
      </c>
      <c r="F70" s="46">
        <v>1</v>
      </c>
      <c r="G70" s="45" t="s">
        <v>128</v>
      </c>
      <c r="K70" s="8" t="str">
        <f t="shared" si="7"/>
        <v>EMPATE</v>
      </c>
      <c r="L70" s="9">
        <f t="shared" si="8"/>
        <v>1</v>
      </c>
      <c r="M70" s="9">
        <f t="shared" si="9"/>
        <v>1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0</v>
      </c>
      <c r="Q70" s="117"/>
      <c r="R70" s="48"/>
      <c r="S70" s="48"/>
      <c r="T70" s="48"/>
      <c r="U70" s="117"/>
    </row>
    <row r="71" spans="1:26" x14ac:dyDescent="0.3">
      <c r="A71" s="53">
        <v>46200</v>
      </c>
      <c r="B71" s="54">
        <v>0.85416666666666663</v>
      </c>
      <c r="C71" s="45" t="s">
        <v>129</v>
      </c>
      <c r="D71" s="46">
        <v>1</v>
      </c>
      <c r="E71" s="46" t="s">
        <v>1</v>
      </c>
      <c r="F71" s="46">
        <v>2</v>
      </c>
      <c r="G71" s="45" t="s">
        <v>5</v>
      </c>
      <c r="K71" s="8" t="str">
        <f t="shared" si="7"/>
        <v>Portugal</v>
      </c>
      <c r="L71" s="9">
        <f t="shared" si="8"/>
        <v>2</v>
      </c>
      <c r="M71" s="9">
        <f t="shared" si="9"/>
        <v>1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0</v>
      </c>
      <c r="Q71" s="117"/>
      <c r="R71" s="48"/>
      <c r="S71" s="48"/>
      <c r="T71" s="48"/>
      <c r="U71" s="117"/>
    </row>
    <row r="72" spans="1:26" x14ac:dyDescent="0.3">
      <c r="A72" s="53">
        <v>46200</v>
      </c>
      <c r="B72" s="54">
        <v>0.95833333333333337</v>
      </c>
      <c r="C72" s="45" t="s">
        <v>126</v>
      </c>
      <c r="D72" s="46">
        <v>0</v>
      </c>
      <c r="E72" s="46" t="s">
        <v>1</v>
      </c>
      <c r="F72" s="46">
        <v>2</v>
      </c>
      <c r="G72" s="45" t="s">
        <v>9</v>
      </c>
      <c r="K72" s="8" t="str">
        <f t="shared" si="7"/>
        <v>Argentina</v>
      </c>
      <c r="L72" s="9">
        <f t="shared" si="8"/>
        <v>2</v>
      </c>
      <c r="M72" s="9">
        <f t="shared" si="9"/>
        <v>0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3</v>
      </c>
      <c r="Q72" s="117"/>
      <c r="R72" s="48"/>
      <c r="S72" s="48"/>
      <c r="T72" s="48"/>
      <c r="U72" s="117"/>
    </row>
    <row r="73" spans="1:26" x14ac:dyDescent="0.3">
      <c r="A73" s="53">
        <v>46200</v>
      </c>
      <c r="B73" s="54">
        <v>0.95833333333333337</v>
      </c>
      <c r="C73" s="45" t="s">
        <v>124</v>
      </c>
      <c r="D73" s="46">
        <v>1</v>
      </c>
      <c r="E73" s="46" t="s">
        <v>1</v>
      </c>
      <c r="F73" s="46">
        <v>2</v>
      </c>
      <c r="G73" s="45" t="s">
        <v>125</v>
      </c>
      <c r="K73" s="8" t="str">
        <f t="shared" si="7"/>
        <v>Áustria</v>
      </c>
      <c r="L73" s="9">
        <f t="shared" si="8"/>
        <v>2</v>
      </c>
      <c r="M73" s="9">
        <f t="shared" si="9"/>
        <v>1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0</v>
      </c>
      <c r="Q73" s="117"/>
      <c r="R73" s="48"/>
      <c r="S73" s="48"/>
      <c r="T73" s="48"/>
      <c r="U73" s="117"/>
    </row>
    <row r="74" spans="1:26" x14ac:dyDescent="0.3">
      <c r="A74" s="60">
        <v>46201</v>
      </c>
      <c r="B74" s="61">
        <v>0.66666666666666663</v>
      </c>
      <c r="C74" s="62" t="s">
        <v>88</v>
      </c>
      <c r="D74" s="63">
        <v>1</v>
      </c>
      <c r="E74" s="63" t="s">
        <v>1</v>
      </c>
      <c r="F74" s="63">
        <v>1</v>
      </c>
      <c r="G74" s="62" t="s">
        <v>105</v>
      </c>
      <c r="K74" s="8" t="str">
        <f t="shared" si="7"/>
        <v>EMPATE</v>
      </c>
      <c r="L74" s="9">
        <f t="shared" si="8"/>
        <v>1</v>
      </c>
      <c r="M74" s="9">
        <f t="shared" si="9"/>
        <v>1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62" t="s">
        <v>88</v>
      </c>
      <c r="R74" s="63">
        <v>1</v>
      </c>
      <c r="S74" s="63" t="s">
        <v>1</v>
      </c>
      <c r="T74" s="63">
        <v>1</v>
      </c>
      <c r="U74" s="62" t="s">
        <v>105</v>
      </c>
      <c r="V74" t="b">
        <f>Q74=C74</f>
        <v>1</v>
      </c>
      <c r="Z74" t="b">
        <f>U74=G74</f>
        <v>1</v>
      </c>
    </row>
    <row r="75" spans="1:26" x14ac:dyDescent="0.3">
      <c r="A75" s="60">
        <v>46202</v>
      </c>
      <c r="B75" s="61">
        <v>0.58333333333333337</v>
      </c>
      <c r="C75" s="62" t="s">
        <v>11</v>
      </c>
      <c r="D75" s="63">
        <v>3</v>
      </c>
      <c r="E75" s="63" t="s">
        <v>1</v>
      </c>
      <c r="F75" s="63">
        <v>1</v>
      </c>
      <c r="G75" s="62" t="s">
        <v>19</v>
      </c>
      <c r="K75" s="8" t="str">
        <f t="shared" si="7"/>
        <v>Brasil</v>
      </c>
      <c r="L75" s="9">
        <f t="shared" si="8"/>
        <v>3</v>
      </c>
      <c r="M75" s="9">
        <f t="shared" si="9"/>
        <v>1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62" t="s">
        <v>11</v>
      </c>
      <c r="R75" s="63">
        <v>3</v>
      </c>
      <c r="S75" s="63" t="s">
        <v>1</v>
      </c>
      <c r="T75" s="63">
        <v>1</v>
      </c>
      <c r="U75" s="62" t="s">
        <v>19</v>
      </c>
      <c r="V75" t="b">
        <f t="shared" ref="V75:V89" si="10">Q75=C75</f>
        <v>1</v>
      </c>
      <c r="Z75" t="b">
        <f t="shared" ref="Z75:Z89" si="11">U75=G75</f>
        <v>1</v>
      </c>
    </row>
    <row r="76" spans="1:26" x14ac:dyDescent="0.3">
      <c r="A76" s="60">
        <v>46202</v>
      </c>
      <c r="B76" s="61">
        <v>0.72916666666666663</v>
      </c>
      <c r="C76" s="62" t="s">
        <v>12</v>
      </c>
      <c r="D76" s="63">
        <v>3</v>
      </c>
      <c r="E76" s="63" t="s">
        <v>1</v>
      </c>
      <c r="F76" s="63">
        <v>0</v>
      </c>
      <c r="G76" s="62" t="s">
        <v>115</v>
      </c>
      <c r="K76" s="8" t="str">
        <f t="shared" si="7"/>
        <v>Alemanha</v>
      </c>
      <c r="L76" s="9">
        <f t="shared" si="8"/>
        <v>3</v>
      </c>
      <c r="M76" s="9">
        <f t="shared" si="9"/>
        <v>0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62" t="s">
        <v>12</v>
      </c>
      <c r="R76" s="63">
        <v>3</v>
      </c>
      <c r="S76" s="63" t="s">
        <v>1</v>
      </c>
      <c r="T76" s="63">
        <v>0</v>
      </c>
      <c r="U76" s="62" t="s">
        <v>115</v>
      </c>
      <c r="V76" t="b">
        <f t="shared" si="10"/>
        <v>1</v>
      </c>
      <c r="Z76" t="b">
        <f t="shared" si="11"/>
        <v>1</v>
      </c>
    </row>
    <row r="77" spans="1:26" x14ac:dyDescent="0.3">
      <c r="A77" s="60">
        <v>46202</v>
      </c>
      <c r="B77" s="61">
        <v>0.91666666666666663</v>
      </c>
      <c r="C77" s="62" t="s">
        <v>78</v>
      </c>
      <c r="D77" s="63">
        <v>2</v>
      </c>
      <c r="E77" s="63" t="s">
        <v>1</v>
      </c>
      <c r="F77" s="63">
        <v>1</v>
      </c>
      <c r="G77" s="62" t="s">
        <v>4</v>
      </c>
      <c r="K77" s="8" t="str">
        <f t="shared" si="7"/>
        <v>Holanda</v>
      </c>
      <c r="L77" s="9">
        <f t="shared" si="8"/>
        <v>2</v>
      </c>
      <c r="M77" s="9">
        <f t="shared" si="9"/>
        <v>1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62" t="s">
        <v>78</v>
      </c>
      <c r="R77" s="63">
        <v>2</v>
      </c>
      <c r="S77" s="63" t="s">
        <v>1</v>
      </c>
      <c r="T77" s="63">
        <v>1</v>
      </c>
      <c r="U77" s="62" t="s">
        <v>4</v>
      </c>
      <c r="V77" t="b">
        <f t="shared" si="10"/>
        <v>1</v>
      </c>
      <c r="Z77" t="b">
        <f>U77=G77</f>
        <v>1</v>
      </c>
    </row>
    <row r="78" spans="1:26" x14ac:dyDescent="0.3">
      <c r="A78" s="60">
        <v>46203</v>
      </c>
      <c r="B78" s="61">
        <v>0.58333333333333337</v>
      </c>
      <c r="C78" s="62" t="s">
        <v>118</v>
      </c>
      <c r="D78" s="63">
        <v>1</v>
      </c>
      <c r="E78" s="63" t="s">
        <v>1</v>
      </c>
      <c r="F78" s="63">
        <v>2</v>
      </c>
      <c r="G78" s="62" t="s">
        <v>123</v>
      </c>
      <c r="K78" s="8" t="str">
        <f t="shared" si="7"/>
        <v>Noruega</v>
      </c>
      <c r="L78" s="9">
        <f t="shared" si="8"/>
        <v>2</v>
      </c>
      <c r="M78" s="9">
        <f t="shared" si="9"/>
        <v>1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62" t="s">
        <v>118</v>
      </c>
      <c r="R78" s="63">
        <v>1</v>
      </c>
      <c r="S78" s="63" t="s">
        <v>1</v>
      </c>
      <c r="T78" s="63">
        <v>2</v>
      </c>
      <c r="U78" s="62" t="s">
        <v>123</v>
      </c>
      <c r="V78" t="b">
        <f t="shared" si="10"/>
        <v>1</v>
      </c>
      <c r="Z78" t="b">
        <f t="shared" si="11"/>
        <v>1</v>
      </c>
    </row>
    <row r="79" spans="1:26" x14ac:dyDescent="0.3">
      <c r="A79" s="60">
        <v>46203</v>
      </c>
      <c r="B79" s="61">
        <v>0.75</v>
      </c>
      <c r="C79" s="62" t="s">
        <v>7</v>
      </c>
      <c r="D79" s="63">
        <v>2</v>
      </c>
      <c r="E79" s="63" t="s">
        <v>1</v>
      </c>
      <c r="F79" s="63">
        <v>0</v>
      </c>
      <c r="G79" s="62" t="s">
        <v>14</v>
      </c>
      <c r="K79" s="8" t="str">
        <f t="shared" si="7"/>
        <v>França</v>
      </c>
      <c r="L79" s="9">
        <f t="shared" si="8"/>
        <v>2</v>
      </c>
      <c r="M79" s="9">
        <f t="shared" si="9"/>
        <v>0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62" t="s">
        <v>7</v>
      </c>
      <c r="R79" s="63">
        <v>2</v>
      </c>
      <c r="S79" s="63" t="s">
        <v>1</v>
      </c>
      <c r="T79" s="63">
        <v>0</v>
      </c>
      <c r="U79" s="62" t="s">
        <v>14</v>
      </c>
      <c r="V79" t="b">
        <f t="shared" si="10"/>
        <v>1</v>
      </c>
      <c r="Z79" t="b">
        <f t="shared" si="11"/>
        <v>1</v>
      </c>
    </row>
    <row r="80" spans="1:26" x14ac:dyDescent="0.3">
      <c r="A80" s="60">
        <v>46203</v>
      </c>
      <c r="B80" s="61">
        <v>0.91666666666666663</v>
      </c>
      <c r="C80" s="62" t="s">
        <v>13</v>
      </c>
      <c r="D80" s="63">
        <v>2</v>
      </c>
      <c r="E80" s="63" t="s">
        <v>1</v>
      </c>
      <c r="F80" s="63">
        <v>1</v>
      </c>
      <c r="G80" s="62" t="s">
        <v>102</v>
      </c>
      <c r="K80" s="8" t="str">
        <f t="shared" si="7"/>
        <v>México</v>
      </c>
      <c r="L80" s="9">
        <f t="shared" si="8"/>
        <v>2</v>
      </c>
      <c r="M80" s="9">
        <f t="shared" si="9"/>
        <v>1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62" t="s">
        <v>13</v>
      </c>
      <c r="R80" s="63">
        <v>2</v>
      </c>
      <c r="S80" s="63" t="s">
        <v>1</v>
      </c>
      <c r="T80" s="63">
        <v>1</v>
      </c>
      <c r="U80" s="62" t="s">
        <v>102</v>
      </c>
      <c r="V80" t="b">
        <f t="shared" si="10"/>
        <v>1</v>
      </c>
      <c r="Z80" t="b">
        <f t="shared" si="11"/>
        <v>1</v>
      </c>
    </row>
    <row r="81" spans="1:26" x14ac:dyDescent="0.3">
      <c r="A81" s="60">
        <v>46204</v>
      </c>
      <c r="B81" s="61">
        <v>0.54166666666666663</v>
      </c>
      <c r="C81" s="62" t="s">
        <v>18</v>
      </c>
      <c r="D81" s="63">
        <v>2</v>
      </c>
      <c r="E81" s="63" t="s">
        <v>1</v>
      </c>
      <c r="F81" s="63">
        <v>0</v>
      </c>
      <c r="G81" s="62" t="s">
        <v>127</v>
      </c>
      <c r="K81" s="8" t="str">
        <f t="shared" si="7"/>
        <v>Inglaterra</v>
      </c>
      <c r="L81" s="9">
        <f t="shared" si="8"/>
        <v>2</v>
      </c>
      <c r="M81" s="9">
        <f t="shared" si="9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62" t="s">
        <v>18</v>
      </c>
      <c r="R81" s="63">
        <v>2</v>
      </c>
      <c r="S81" s="63" t="s">
        <v>1</v>
      </c>
      <c r="T81" s="63">
        <v>0</v>
      </c>
      <c r="U81" s="62" t="s">
        <v>127</v>
      </c>
      <c r="V81" t="b">
        <f t="shared" si="10"/>
        <v>1</v>
      </c>
      <c r="Z81" t="b">
        <f t="shared" si="11"/>
        <v>1</v>
      </c>
    </row>
    <row r="82" spans="1:26" x14ac:dyDescent="0.3">
      <c r="A82" s="60">
        <v>46204</v>
      </c>
      <c r="B82" s="61">
        <v>0.70833333333333337</v>
      </c>
      <c r="C82" s="62" t="s">
        <v>16</v>
      </c>
      <c r="D82" s="63">
        <v>1</v>
      </c>
      <c r="E82" s="63" t="s">
        <v>1</v>
      </c>
      <c r="F82" s="63">
        <v>1</v>
      </c>
      <c r="G82" s="62" t="s">
        <v>20</v>
      </c>
      <c r="K82" s="8" t="str">
        <f t="shared" si="7"/>
        <v>EMPATE</v>
      </c>
      <c r="L82" s="9">
        <f t="shared" si="8"/>
        <v>1</v>
      </c>
      <c r="M82" s="9">
        <f t="shared" si="9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62" t="s">
        <v>16</v>
      </c>
      <c r="R82" s="63">
        <v>1</v>
      </c>
      <c r="S82" s="63" t="s">
        <v>1</v>
      </c>
      <c r="T82" s="63">
        <v>1</v>
      </c>
      <c r="U82" s="62" t="s">
        <v>20</v>
      </c>
      <c r="V82" t="b">
        <f t="shared" si="10"/>
        <v>1</v>
      </c>
      <c r="Z82" t="b">
        <f t="shared" si="11"/>
        <v>1</v>
      </c>
    </row>
    <row r="83" spans="1:26" x14ac:dyDescent="0.3">
      <c r="A83" s="60">
        <v>46204</v>
      </c>
      <c r="B83" s="61">
        <v>0.875</v>
      </c>
      <c r="C83" s="62" t="s">
        <v>104</v>
      </c>
      <c r="D83" s="63">
        <v>2</v>
      </c>
      <c r="E83" s="63" t="s">
        <v>1</v>
      </c>
      <c r="F83" s="63">
        <v>1</v>
      </c>
      <c r="G83" s="62" t="s">
        <v>112</v>
      </c>
      <c r="K83" s="8" t="str">
        <f t="shared" si="7"/>
        <v>Estados Unidos</v>
      </c>
      <c r="L83" s="9">
        <f t="shared" si="8"/>
        <v>2</v>
      </c>
      <c r="M83" s="9">
        <f t="shared" si="9"/>
        <v>1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62" t="s">
        <v>104</v>
      </c>
      <c r="R83" s="63">
        <v>2</v>
      </c>
      <c r="S83" s="63" t="s">
        <v>1</v>
      </c>
      <c r="T83" s="63">
        <v>1</v>
      </c>
      <c r="U83" s="62" t="s">
        <v>112</v>
      </c>
      <c r="V83" t="b">
        <f t="shared" si="10"/>
        <v>1</v>
      </c>
      <c r="Z83" t="b">
        <f t="shared" si="11"/>
        <v>1</v>
      </c>
    </row>
    <row r="84" spans="1:26" x14ac:dyDescent="0.3">
      <c r="A84" s="60">
        <v>46205</v>
      </c>
      <c r="B84" s="61">
        <v>0.66666666666666663</v>
      </c>
      <c r="C84" s="62" t="s">
        <v>6</v>
      </c>
      <c r="D84" s="63">
        <v>2</v>
      </c>
      <c r="E84" s="63" t="s">
        <v>1</v>
      </c>
      <c r="F84" s="63">
        <v>0</v>
      </c>
      <c r="G84" s="62" t="s">
        <v>125</v>
      </c>
      <c r="K84" s="8" t="str">
        <f t="shared" si="7"/>
        <v>Espanha</v>
      </c>
      <c r="L84" s="9">
        <f t="shared" si="8"/>
        <v>2</v>
      </c>
      <c r="M84" s="9">
        <f t="shared" si="9"/>
        <v>0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62" t="s">
        <v>6</v>
      </c>
      <c r="R84" s="63">
        <v>2</v>
      </c>
      <c r="S84" s="63" t="s">
        <v>1</v>
      </c>
      <c r="T84" s="63">
        <v>0</v>
      </c>
      <c r="U84" s="62" t="s">
        <v>125</v>
      </c>
      <c r="V84" t="b">
        <f t="shared" si="10"/>
        <v>1</v>
      </c>
      <c r="Z84" t="b">
        <f t="shared" si="11"/>
        <v>1</v>
      </c>
    </row>
    <row r="85" spans="1:26" x14ac:dyDescent="0.3">
      <c r="A85" s="60">
        <v>46205</v>
      </c>
      <c r="B85" s="61">
        <v>0.83333333333333337</v>
      </c>
      <c r="C85" s="62" t="s">
        <v>5</v>
      </c>
      <c r="D85" s="63">
        <v>1</v>
      </c>
      <c r="E85" s="63" t="s">
        <v>1</v>
      </c>
      <c r="F85" s="63">
        <v>1</v>
      </c>
      <c r="G85" s="62" t="s">
        <v>10</v>
      </c>
      <c r="K85" s="8" t="str">
        <f t="shared" si="7"/>
        <v>EMPATE</v>
      </c>
      <c r="L85" s="9">
        <f t="shared" si="8"/>
        <v>1</v>
      </c>
      <c r="M85" s="9">
        <f t="shared" si="9"/>
        <v>1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62" t="s">
        <v>5</v>
      </c>
      <c r="R85" s="63">
        <v>1</v>
      </c>
      <c r="S85" s="63" t="s">
        <v>1</v>
      </c>
      <c r="T85" s="63">
        <v>1</v>
      </c>
      <c r="U85" s="62" t="s">
        <v>10</v>
      </c>
      <c r="V85" t="b">
        <f t="shared" si="10"/>
        <v>1</v>
      </c>
      <c r="Z85" t="b">
        <f t="shared" si="11"/>
        <v>1</v>
      </c>
    </row>
    <row r="86" spans="1:26" x14ac:dyDescent="0.3">
      <c r="A86" s="60">
        <v>46206</v>
      </c>
      <c r="B86" s="61">
        <v>0</v>
      </c>
      <c r="C86" s="62" t="s">
        <v>72</v>
      </c>
      <c r="D86" s="63">
        <v>2</v>
      </c>
      <c r="E86" s="63" t="s">
        <v>1</v>
      </c>
      <c r="F86" s="63">
        <v>1</v>
      </c>
      <c r="G86" s="62" t="s">
        <v>124</v>
      </c>
      <c r="K86" s="8" t="str">
        <f t="shared" si="7"/>
        <v>Suíça</v>
      </c>
      <c r="L86" s="9">
        <f t="shared" si="8"/>
        <v>2</v>
      </c>
      <c r="M86" s="9">
        <f t="shared" si="9"/>
        <v>1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62" t="s">
        <v>72</v>
      </c>
      <c r="R86" s="63">
        <v>2</v>
      </c>
      <c r="S86" s="63" t="s">
        <v>1</v>
      </c>
      <c r="T86" s="63">
        <v>1</v>
      </c>
      <c r="U86" s="62" t="s">
        <v>124</v>
      </c>
      <c r="V86" t="b">
        <f t="shared" si="10"/>
        <v>1</v>
      </c>
      <c r="Z86" t="b">
        <f t="shared" si="11"/>
        <v>1</v>
      </c>
    </row>
    <row r="87" spans="1:26" x14ac:dyDescent="0.3">
      <c r="A87" s="60">
        <v>46206</v>
      </c>
      <c r="B87" s="61">
        <v>0.625</v>
      </c>
      <c r="C87" s="62" t="s">
        <v>8</v>
      </c>
      <c r="D87" s="63">
        <v>1</v>
      </c>
      <c r="E87" s="63" t="s">
        <v>1</v>
      </c>
      <c r="F87" s="63">
        <v>1</v>
      </c>
      <c r="G87" s="62" t="s">
        <v>119</v>
      </c>
      <c r="K87" s="8" t="str">
        <f t="shared" si="7"/>
        <v>EMPATE</v>
      </c>
      <c r="L87" s="9">
        <f t="shared" si="8"/>
        <v>1</v>
      </c>
      <c r="M87" s="9">
        <f t="shared" si="9"/>
        <v>1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62" t="s">
        <v>8</v>
      </c>
      <c r="R87" s="63">
        <v>1</v>
      </c>
      <c r="S87" s="63" t="s">
        <v>1</v>
      </c>
      <c r="T87" s="63">
        <v>1</v>
      </c>
      <c r="U87" s="62" t="s">
        <v>119</v>
      </c>
      <c r="V87" t="b">
        <f t="shared" si="10"/>
        <v>1</v>
      </c>
      <c r="Z87" t="b">
        <f t="shared" si="11"/>
        <v>1</v>
      </c>
    </row>
    <row r="88" spans="1:26" x14ac:dyDescent="0.3">
      <c r="A88" s="60">
        <v>46206</v>
      </c>
      <c r="B88" s="61">
        <v>0.79166666666666663</v>
      </c>
      <c r="C88" s="62" t="s">
        <v>9</v>
      </c>
      <c r="D88" s="63">
        <v>0</v>
      </c>
      <c r="E88" s="63" t="s">
        <v>1</v>
      </c>
      <c r="F88" s="63">
        <v>1</v>
      </c>
      <c r="G88" s="62" t="s">
        <v>121</v>
      </c>
      <c r="K88" s="8" t="str">
        <f t="shared" si="7"/>
        <v>Cabo Verde</v>
      </c>
      <c r="L88" s="9">
        <f t="shared" si="8"/>
        <v>1</v>
      </c>
      <c r="M88" s="9">
        <f t="shared" si="9"/>
        <v>0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62" t="s">
        <v>9</v>
      </c>
      <c r="R88" s="63">
        <v>0</v>
      </c>
      <c r="S88" s="63" t="s">
        <v>1</v>
      </c>
      <c r="T88" s="63">
        <v>1</v>
      </c>
      <c r="U88" s="62" t="s">
        <v>121</v>
      </c>
      <c r="V88" t="b">
        <f t="shared" si="10"/>
        <v>1</v>
      </c>
      <c r="Z88" t="b">
        <f t="shared" si="11"/>
        <v>1</v>
      </c>
    </row>
    <row r="89" spans="1:26" x14ac:dyDescent="0.3">
      <c r="A89" s="60">
        <v>46206</v>
      </c>
      <c r="B89" s="61">
        <v>0.9375</v>
      </c>
      <c r="C89" s="62" t="s">
        <v>129</v>
      </c>
      <c r="D89" s="63">
        <v>2</v>
      </c>
      <c r="E89" s="63" t="s">
        <v>1</v>
      </c>
      <c r="F89" s="63">
        <v>0</v>
      </c>
      <c r="G89" s="62" t="s">
        <v>106</v>
      </c>
      <c r="K89" s="8" t="str">
        <f t="shared" si="7"/>
        <v>Colômbia</v>
      </c>
      <c r="L89" s="9">
        <f t="shared" si="8"/>
        <v>2</v>
      </c>
      <c r="M89" s="9">
        <f t="shared" si="9"/>
        <v>0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62" t="s">
        <v>129</v>
      </c>
      <c r="R89" s="63">
        <v>2</v>
      </c>
      <c r="S89" s="63" t="s">
        <v>1</v>
      </c>
      <c r="T89" s="63">
        <v>0</v>
      </c>
      <c r="U89" s="62" t="s">
        <v>106</v>
      </c>
      <c r="V89" t="b">
        <f t="shared" si="10"/>
        <v>1</v>
      </c>
      <c r="Z89" t="b">
        <f t="shared" si="11"/>
        <v>1</v>
      </c>
    </row>
    <row r="90" spans="1:26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6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6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6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6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6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6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24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27</v>
      </c>
      <c r="I1" s="135"/>
      <c r="J1" s="142"/>
      <c r="K1" s="3" t="s">
        <v>32</v>
      </c>
      <c r="L1" s="3" t="s">
        <v>30</v>
      </c>
      <c r="M1" s="3" t="s">
        <v>31</v>
      </c>
      <c r="O1" s="4" t="s">
        <v>33</v>
      </c>
    </row>
    <row r="2" spans="1:24" ht="15.75" customHeight="1" x14ac:dyDescent="0.3">
      <c r="A2" s="53">
        <v>46184</v>
      </c>
      <c r="B2" s="54">
        <v>0.66666666666666663</v>
      </c>
      <c r="C2" s="55" t="s">
        <v>13</v>
      </c>
      <c r="D2" s="46">
        <v>2</v>
      </c>
      <c r="E2" s="46" t="s">
        <v>1</v>
      </c>
      <c r="F2" s="46">
        <v>0</v>
      </c>
      <c r="G2" s="55" t="s">
        <v>88</v>
      </c>
      <c r="H2" s="141"/>
      <c r="I2" s="135"/>
      <c r="J2" s="142"/>
      <c r="K2" s="8" t="str">
        <f t="shared" ref="K2:K4" si="0">IF(D2="","",IF(D2&gt;F2,C2,IF(F2&gt;D2,G2,"EMPATE")))</f>
        <v>México</v>
      </c>
      <c r="L2" s="9">
        <f t="shared" ref="L2:L4" si="1">IF(D2="","",IF(D2&gt;F2,D2,IF(F2&gt;D2,F2,D2)))</f>
        <v>2</v>
      </c>
      <c r="M2" s="9">
        <f t="shared" ref="M2:M4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  <c r="R2" s="84"/>
      <c r="S2" s="85"/>
      <c r="T2" s="86"/>
      <c r="U2" s="48"/>
      <c r="V2" s="48"/>
      <c r="W2" s="48"/>
      <c r="X2" s="86"/>
    </row>
    <row r="3" spans="1:24" ht="15.75" customHeight="1" x14ac:dyDescent="0.3">
      <c r="A3" s="53">
        <v>46184</v>
      </c>
      <c r="B3" s="54">
        <v>0.95833333333333337</v>
      </c>
      <c r="C3" s="55" t="s">
        <v>15</v>
      </c>
      <c r="D3" s="46">
        <v>1</v>
      </c>
      <c r="E3" s="46" t="s">
        <v>1</v>
      </c>
      <c r="F3" s="46">
        <v>3</v>
      </c>
      <c r="G3" s="55" t="s">
        <v>111</v>
      </c>
      <c r="H3" s="141"/>
      <c r="I3" s="135"/>
      <c r="J3" s="142"/>
      <c r="K3" s="8" t="str">
        <f t="shared" si="0"/>
        <v>República Tcheca</v>
      </c>
      <c r="L3" s="9">
        <f t="shared" si="1"/>
        <v>3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R3" s="84"/>
      <c r="S3" s="85"/>
      <c r="T3" s="86"/>
      <c r="U3" s="48"/>
      <c r="V3" s="48"/>
      <c r="W3" s="48"/>
      <c r="X3" s="86"/>
    </row>
    <row r="4" spans="1:24" ht="15.75" customHeight="1" x14ac:dyDescent="0.3">
      <c r="A4" s="53">
        <v>46185</v>
      </c>
      <c r="B4" s="54">
        <v>0.66666666666666663</v>
      </c>
      <c r="C4" s="55" t="s">
        <v>105</v>
      </c>
      <c r="D4" s="46">
        <v>1</v>
      </c>
      <c r="E4" s="46" t="s">
        <v>1</v>
      </c>
      <c r="F4" s="46">
        <v>1</v>
      </c>
      <c r="G4" s="55" t="s">
        <v>112</v>
      </c>
      <c r="K4" s="8" t="str">
        <f t="shared" si="0"/>
        <v>EMPATE</v>
      </c>
      <c r="L4" s="9">
        <f t="shared" si="1"/>
        <v>1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9</v>
      </c>
      <c r="R4" s="84"/>
      <c r="S4" s="85"/>
      <c r="T4" s="86"/>
      <c r="U4" s="48"/>
      <c r="V4" s="48"/>
      <c r="W4" s="48"/>
      <c r="X4" s="86"/>
    </row>
    <row r="5" spans="1:24" ht="15.75" customHeight="1" x14ac:dyDescent="0.3">
      <c r="A5" s="53">
        <v>46185</v>
      </c>
      <c r="B5" s="54">
        <v>0.91666666666666663</v>
      </c>
      <c r="C5" s="55" t="s">
        <v>104</v>
      </c>
      <c r="D5" s="46">
        <v>1</v>
      </c>
      <c r="E5" s="46" t="s">
        <v>1</v>
      </c>
      <c r="F5" s="46">
        <v>1</v>
      </c>
      <c r="G5" s="55" t="s">
        <v>115</v>
      </c>
      <c r="I5" s="18"/>
      <c r="K5" s="8" t="str">
        <f t="shared" ref="K5:K68" si="3">IF(D5="","",IF(D5&gt;F5,C5,IF(F5&gt;D5,G5,"EMPATE")))</f>
        <v>EMPATE</v>
      </c>
      <c r="L5" s="9">
        <f t="shared" ref="L5:L68" si="4">IF(D5="","",IF(D5&gt;F5,D5,IF(F5&gt;D5,F5,D5)))</f>
        <v>1</v>
      </c>
      <c r="M5" s="9">
        <f t="shared" ref="M5:M68" si="5">IF(D5="","",IF(D5&lt;F5,D5,IF(F5&lt;D5,F5,D5)))</f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  <c r="R5" s="84"/>
      <c r="S5" s="85"/>
      <c r="T5" s="86"/>
      <c r="U5" s="48"/>
      <c r="V5" s="48"/>
      <c r="W5" s="48"/>
      <c r="X5" s="86"/>
    </row>
    <row r="6" spans="1:24" ht="15.75" customHeight="1" x14ac:dyDescent="0.3">
      <c r="A6" s="53">
        <v>46186</v>
      </c>
      <c r="B6" s="54">
        <v>0.66666666666666663</v>
      </c>
      <c r="C6" s="55" t="s">
        <v>97</v>
      </c>
      <c r="D6" s="46">
        <v>1</v>
      </c>
      <c r="E6" s="46" t="s">
        <v>1</v>
      </c>
      <c r="F6" s="46">
        <v>2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3"/>
        <v>Suíça</v>
      </c>
      <c r="L6" s="9">
        <f t="shared" si="4"/>
        <v>2</v>
      </c>
      <c r="M6" s="9">
        <f t="shared" si="5"/>
        <v>1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R6" s="84"/>
      <c r="S6" s="85"/>
      <c r="T6" s="86"/>
      <c r="U6" s="48"/>
      <c r="V6" s="48"/>
      <c r="W6" s="48"/>
      <c r="X6" s="86"/>
    </row>
    <row r="7" spans="1:24" ht="15.75" customHeight="1" x14ac:dyDescent="0.3">
      <c r="A7" s="53">
        <v>46186</v>
      </c>
      <c r="B7" s="54">
        <v>0.79166666666666663</v>
      </c>
      <c r="C7" s="55" t="s">
        <v>11</v>
      </c>
      <c r="D7" s="46">
        <v>3</v>
      </c>
      <c r="E7" s="46" t="s">
        <v>1</v>
      </c>
      <c r="F7" s="46">
        <v>2</v>
      </c>
      <c r="G7" s="55" t="s">
        <v>4</v>
      </c>
      <c r="H7" s="15">
        <v>9</v>
      </c>
      <c r="I7" s="15">
        <f>COUNTIF($O$2:$O$105,9)</f>
        <v>7</v>
      </c>
      <c r="J7" s="15">
        <f>H7*I7</f>
        <v>63</v>
      </c>
      <c r="K7" s="8" t="str">
        <f t="shared" si="3"/>
        <v>Brasil</v>
      </c>
      <c r="L7" s="9">
        <f t="shared" si="4"/>
        <v>3</v>
      </c>
      <c r="M7" s="9">
        <f t="shared" si="5"/>
        <v>2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R7" s="84"/>
      <c r="S7" s="85"/>
      <c r="T7" s="86"/>
      <c r="U7" s="48"/>
      <c r="V7" s="48"/>
      <c r="W7" s="48"/>
      <c r="X7" s="86"/>
    </row>
    <row r="8" spans="1:24" ht="15.75" customHeight="1" x14ac:dyDescent="0.3">
      <c r="A8" s="53">
        <v>46186</v>
      </c>
      <c r="B8" s="54">
        <v>0.91666666666666663</v>
      </c>
      <c r="C8" s="55" t="s">
        <v>113</v>
      </c>
      <c r="D8" s="46">
        <v>1</v>
      </c>
      <c r="E8" s="46" t="s">
        <v>1</v>
      </c>
      <c r="F8" s="46">
        <v>1</v>
      </c>
      <c r="G8" s="55" t="s">
        <v>114</v>
      </c>
      <c r="H8" s="15">
        <v>6</v>
      </c>
      <c r="I8" s="15">
        <f>COUNTIF($O$2:$O$105,6)</f>
        <v>3</v>
      </c>
      <c r="J8" s="15">
        <f t="shared" ref="J8:J11" si="6">H8*I8</f>
        <v>18</v>
      </c>
      <c r="K8" s="8" t="str">
        <f t="shared" si="3"/>
        <v>EMPATE</v>
      </c>
      <c r="L8" s="9">
        <f t="shared" si="4"/>
        <v>1</v>
      </c>
      <c r="M8" s="9">
        <f t="shared" si="5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  <c r="R8" s="84"/>
      <c r="S8" s="85"/>
      <c r="T8" s="86"/>
      <c r="U8" s="48"/>
      <c r="V8" s="48"/>
      <c r="W8" s="48"/>
      <c r="X8" s="86"/>
    </row>
    <row r="9" spans="1:24" ht="15.75" customHeight="1" x14ac:dyDescent="0.3">
      <c r="A9" s="53">
        <v>46187</v>
      </c>
      <c r="B9" s="54">
        <v>4.1666666666666664E-2</v>
      </c>
      <c r="C9" s="55" t="s">
        <v>8</v>
      </c>
      <c r="D9" s="46">
        <v>0</v>
      </c>
      <c r="E9" s="46" t="s">
        <v>1</v>
      </c>
      <c r="F9" s="46">
        <v>2</v>
      </c>
      <c r="G9" s="55" t="s">
        <v>116</v>
      </c>
      <c r="H9" s="15">
        <v>4</v>
      </c>
      <c r="I9" s="15">
        <f>COUNTIF($O$2:$O$105,4)</f>
        <v>8</v>
      </c>
      <c r="J9" s="15">
        <f t="shared" si="6"/>
        <v>32</v>
      </c>
      <c r="K9" s="8" t="str">
        <f t="shared" si="3"/>
        <v>Turquia</v>
      </c>
      <c r="L9" s="9">
        <f t="shared" si="4"/>
        <v>2</v>
      </c>
      <c r="M9" s="9">
        <f t="shared" si="5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R9" s="84"/>
      <c r="S9" s="85"/>
      <c r="T9" s="86"/>
      <c r="U9" s="48"/>
      <c r="V9" s="48"/>
      <c r="W9" s="48"/>
      <c r="X9" s="86"/>
    </row>
    <row r="10" spans="1:24" x14ac:dyDescent="0.3">
      <c r="A10" s="53">
        <v>46187</v>
      </c>
      <c r="B10" s="54">
        <v>0.58333333333333337</v>
      </c>
      <c r="C10" s="55" t="s">
        <v>12</v>
      </c>
      <c r="D10" s="46">
        <v>9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26</v>
      </c>
      <c r="J10" s="15">
        <f t="shared" si="6"/>
        <v>78</v>
      </c>
      <c r="K10" s="8" t="str">
        <f t="shared" si="3"/>
        <v>Alemanha</v>
      </c>
      <c r="L10" s="9">
        <f t="shared" si="4"/>
        <v>9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R10" s="84"/>
      <c r="S10" s="85"/>
      <c r="T10" s="86"/>
      <c r="U10" s="48"/>
      <c r="V10" s="48"/>
      <c r="W10" s="48"/>
      <c r="X10" s="86"/>
    </row>
    <row r="11" spans="1:24" x14ac:dyDescent="0.3">
      <c r="A11" s="53">
        <v>46187</v>
      </c>
      <c r="B11" s="54">
        <v>0.70833333333333337</v>
      </c>
      <c r="C11" s="55" t="s">
        <v>78</v>
      </c>
      <c r="D11" s="46">
        <v>1</v>
      </c>
      <c r="E11" s="46" t="s">
        <v>1</v>
      </c>
      <c r="F11" s="46">
        <v>2</v>
      </c>
      <c r="G11" s="55" t="s">
        <v>19</v>
      </c>
      <c r="H11" s="15">
        <v>0</v>
      </c>
      <c r="I11" s="15">
        <f>COUNTIF($O$2:$O$105,0)</f>
        <v>28</v>
      </c>
      <c r="J11" s="15">
        <f t="shared" si="6"/>
        <v>0</v>
      </c>
      <c r="K11" s="8" t="str">
        <f t="shared" si="3"/>
        <v>Japão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R11" s="84"/>
      <c r="S11" s="85"/>
      <c r="T11" s="86"/>
      <c r="U11" s="48"/>
      <c r="V11" s="48"/>
      <c r="W11" s="48"/>
      <c r="X11" s="86"/>
    </row>
    <row r="12" spans="1:24" ht="18" x14ac:dyDescent="0.35">
      <c r="A12" s="53">
        <v>46187</v>
      </c>
      <c r="B12" s="54">
        <v>0.83333333333333337</v>
      </c>
      <c r="C12" s="55" t="s">
        <v>118</v>
      </c>
      <c r="D12" s="46">
        <v>2</v>
      </c>
      <c r="E12" s="46" t="s">
        <v>1</v>
      </c>
      <c r="F12" s="46">
        <v>1</v>
      </c>
      <c r="G12" s="55" t="s">
        <v>102</v>
      </c>
      <c r="H12" s="15"/>
      <c r="I12" s="16" t="s">
        <v>46</v>
      </c>
      <c r="J12" s="17">
        <f>SUM(J7:J11)</f>
        <v>191</v>
      </c>
      <c r="K12" s="8" t="str">
        <f t="shared" si="3"/>
        <v>Costa do Marfim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3</v>
      </c>
      <c r="R12" s="84"/>
      <c r="S12" s="85"/>
      <c r="T12" s="86"/>
      <c r="U12" s="48"/>
      <c r="V12" s="48"/>
      <c r="W12" s="48"/>
      <c r="X12" s="86"/>
    </row>
    <row r="13" spans="1:24" x14ac:dyDescent="0.3">
      <c r="A13" s="53">
        <v>46187</v>
      </c>
      <c r="B13" s="54">
        <v>0.95833333333333337</v>
      </c>
      <c r="C13" s="55" t="s">
        <v>14</v>
      </c>
      <c r="D13" s="46">
        <v>2</v>
      </c>
      <c r="E13" s="46" t="s">
        <v>1</v>
      </c>
      <c r="F13" s="46">
        <v>1</v>
      </c>
      <c r="G13" s="55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4</v>
      </c>
      <c r="R13" s="84"/>
      <c r="S13" s="85"/>
      <c r="T13" s="86"/>
      <c r="U13" s="48"/>
      <c r="V13" s="48"/>
      <c r="W13" s="48"/>
      <c r="X13" s="86"/>
    </row>
    <row r="14" spans="1:24" x14ac:dyDescent="0.3">
      <c r="A14" s="53">
        <v>46188</v>
      </c>
      <c r="B14" s="54">
        <v>0.54166666666666663</v>
      </c>
      <c r="C14" s="55" t="s">
        <v>6</v>
      </c>
      <c r="D14" s="46">
        <v>4</v>
      </c>
      <c r="E14" s="46" t="s">
        <v>1</v>
      </c>
      <c r="F14" s="46">
        <v>0</v>
      </c>
      <c r="G14" s="55" t="s">
        <v>121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R14" s="84"/>
      <c r="S14" s="85"/>
      <c r="T14" s="86"/>
      <c r="U14" s="48"/>
      <c r="V14" s="48"/>
      <c r="W14" s="48"/>
      <c r="X14" s="86"/>
    </row>
    <row r="15" spans="1:24" x14ac:dyDescent="0.3">
      <c r="A15" s="53">
        <v>46188</v>
      </c>
      <c r="B15" s="54">
        <v>0.66666666666666663</v>
      </c>
      <c r="C15" s="55" t="s">
        <v>16</v>
      </c>
      <c r="D15" s="46">
        <v>3</v>
      </c>
      <c r="E15" s="46" t="s">
        <v>1</v>
      </c>
      <c r="F15" s="46">
        <v>1</v>
      </c>
      <c r="G15" s="55" t="s">
        <v>119</v>
      </c>
      <c r="K15" s="8" t="str">
        <f t="shared" si="3"/>
        <v>Bélgica</v>
      </c>
      <c r="L15" s="9">
        <f t="shared" si="4"/>
        <v>3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R15" s="84"/>
      <c r="S15" s="85"/>
      <c r="T15" s="86"/>
      <c r="U15" s="48"/>
      <c r="V15" s="48"/>
      <c r="W15" s="48"/>
      <c r="X15" s="86"/>
    </row>
    <row r="16" spans="1:24" x14ac:dyDescent="0.3">
      <c r="A16" s="53">
        <v>46188</v>
      </c>
      <c r="B16" s="54">
        <v>0.79166666666666663</v>
      </c>
      <c r="C16" s="55" t="s">
        <v>2</v>
      </c>
      <c r="D16" s="46">
        <v>1</v>
      </c>
      <c r="E16" s="46" t="s">
        <v>1</v>
      </c>
      <c r="F16" s="46">
        <v>1</v>
      </c>
      <c r="G16" s="55" t="s">
        <v>3</v>
      </c>
      <c r="K16" s="8" t="str">
        <f t="shared" si="3"/>
        <v>EMPATE</v>
      </c>
      <c r="L16" s="9">
        <f t="shared" si="4"/>
        <v>1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9</v>
      </c>
      <c r="R16" s="84"/>
      <c r="S16" s="85"/>
      <c r="T16" s="86"/>
      <c r="U16" s="48"/>
      <c r="V16" s="48"/>
      <c r="W16" s="48"/>
      <c r="X16" s="86"/>
    </row>
    <row r="17" spans="1:24" x14ac:dyDescent="0.3">
      <c r="A17" s="53">
        <v>46188</v>
      </c>
      <c r="B17" s="54">
        <v>0.91666666666666663</v>
      </c>
      <c r="C17" s="55" t="s">
        <v>103</v>
      </c>
      <c r="D17" s="46">
        <v>2</v>
      </c>
      <c r="E17" s="46" t="s">
        <v>1</v>
      </c>
      <c r="F17" s="46">
        <v>0</v>
      </c>
      <c r="G17" s="55" t="s">
        <v>120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R17" s="84"/>
      <c r="S17" s="85"/>
      <c r="T17" s="86"/>
      <c r="U17" s="48"/>
      <c r="V17" s="48"/>
      <c r="W17" s="48"/>
      <c r="X17" s="86"/>
    </row>
    <row r="18" spans="1:24" x14ac:dyDescent="0.3">
      <c r="A18" s="53">
        <v>46189</v>
      </c>
      <c r="B18" s="54">
        <v>0.66666666666666663</v>
      </c>
      <c r="C18" s="55" t="s">
        <v>7</v>
      </c>
      <c r="D18" s="46">
        <v>3</v>
      </c>
      <c r="E18" s="46" t="s">
        <v>1</v>
      </c>
      <c r="F18" s="46">
        <v>1</v>
      </c>
      <c r="G18" s="55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  <c r="R18" s="84"/>
      <c r="S18" s="85"/>
      <c r="T18" s="86"/>
      <c r="U18" s="48"/>
      <c r="V18" s="48"/>
      <c r="W18" s="48"/>
      <c r="X18" s="86"/>
    </row>
    <row r="19" spans="1:24" x14ac:dyDescent="0.3">
      <c r="A19" s="53">
        <v>46189</v>
      </c>
      <c r="B19" s="54">
        <v>0.79166666666666663</v>
      </c>
      <c r="C19" s="55" t="s">
        <v>122</v>
      </c>
      <c r="D19" s="46">
        <v>0</v>
      </c>
      <c r="E19" s="46" t="s">
        <v>1</v>
      </c>
      <c r="F19" s="46">
        <v>4</v>
      </c>
      <c r="G19" s="55" t="s">
        <v>123</v>
      </c>
      <c r="K19" s="8" t="str">
        <f t="shared" si="3"/>
        <v>Noruega</v>
      </c>
      <c r="L19" s="9">
        <f t="shared" si="4"/>
        <v>4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6</v>
      </c>
      <c r="R19" s="84"/>
      <c r="S19" s="85"/>
      <c r="T19" s="86"/>
      <c r="U19" s="48"/>
      <c r="V19" s="48"/>
      <c r="W19" s="48"/>
      <c r="X19" s="86"/>
    </row>
    <row r="20" spans="1:24" x14ac:dyDescent="0.3">
      <c r="A20" s="53">
        <v>46189</v>
      </c>
      <c r="B20" s="54">
        <v>0.91666666666666663</v>
      </c>
      <c r="C20" s="55" t="s">
        <v>9</v>
      </c>
      <c r="D20" s="46">
        <v>3</v>
      </c>
      <c r="E20" s="46" t="s">
        <v>1</v>
      </c>
      <c r="F20" s="46">
        <v>0</v>
      </c>
      <c r="G20" s="55" t="s">
        <v>124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R20" s="84"/>
      <c r="S20" s="85"/>
      <c r="T20" s="86"/>
      <c r="U20" s="48"/>
      <c r="V20" s="48"/>
      <c r="W20" s="48"/>
      <c r="X20" s="86"/>
    </row>
    <row r="21" spans="1:24" x14ac:dyDescent="0.3">
      <c r="A21" s="53">
        <v>46190</v>
      </c>
      <c r="B21" s="54">
        <v>4.1666666666666664E-2</v>
      </c>
      <c r="C21" s="55" t="s">
        <v>125</v>
      </c>
      <c r="D21" s="46">
        <v>1</v>
      </c>
      <c r="E21" s="46" t="s">
        <v>1</v>
      </c>
      <c r="F21" s="46">
        <v>0</v>
      </c>
      <c r="G21" s="55" t="s">
        <v>126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R21" s="84"/>
      <c r="S21" s="85"/>
      <c r="T21" s="86"/>
      <c r="U21" s="48"/>
      <c r="V21" s="48"/>
      <c r="W21" s="48"/>
      <c r="X21" s="86"/>
    </row>
    <row r="22" spans="1:24" x14ac:dyDescent="0.3">
      <c r="A22" s="53">
        <v>46190</v>
      </c>
      <c r="B22" s="54">
        <v>0.58333333333333337</v>
      </c>
      <c r="C22" s="55" t="s">
        <v>5</v>
      </c>
      <c r="D22" s="46">
        <v>5</v>
      </c>
      <c r="E22" s="46" t="s">
        <v>1</v>
      </c>
      <c r="F22" s="46">
        <v>0</v>
      </c>
      <c r="G22" s="55" t="s">
        <v>127</v>
      </c>
      <c r="K22" s="8" t="str">
        <f t="shared" si="3"/>
        <v>Portugal</v>
      </c>
      <c r="L22" s="9">
        <f t="shared" si="4"/>
        <v>5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R22" s="84"/>
      <c r="S22" s="85"/>
      <c r="T22" s="86"/>
      <c r="U22" s="48"/>
      <c r="V22" s="48"/>
      <c r="W22" s="48"/>
      <c r="X22" s="86"/>
    </row>
    <row r="23" spans="1:24" x14ac:dyDescent="0.3">
      <c r="A23" s="53">
        <v>46190</v>
      </c>
      <c r="B23" s="54">
        <v>0.70833333333333337</v>
      </c>
      <c r="C23" s="55" t="s">
        <v>18</v>
      </c>
      <c r="D23" s="46">
        <v>2</v>
      </c>
      <c r="E23" s="46" t="s">
        <v>1</v>
      </c>
      <c r="F23" s="46">
        <v>1</v>
      </c>
      <c r="G23" s="55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R23" s="84"/>
      <c r="S23" s="85"/>
      <c r="T23" s="86"/>
      <c r="U23" s="48"/>
      <c r="V23" s="48"/>
      <c r="W23" s="48"/>
      <c r="X23" s="86"/>
    </row>
    <row r="24" spans="1:24" x14ac:dyDescent="0.3">
      <c r="A24" s="53">
        <v>46190</v>
      </c>
      <c r="B24" s="54">
        <v>0.83333333333333337</v>
      </c>
      <c r="C24" s="55" t="s">
        <v>106</v>
      </c>
      <c r="D24" s="46">
        <v>3</v>
      </c>
      <c r="E24" s="46" t="s">
        <v>1</v>
      </c>
      <c r="F24" s="46">
        <v>1</v>
      </c>
      <c r="G24" s="55" t="s">
        <v>130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  <c r="R24" s="84"/>
      <c r="S24" s="85"/>
      <c r="T24" s="86"/>
      <c r="U24" s="48"/>
      <c r="V24" s="48"/>
      <c r="W24" s="48"/>
      <c r="X24" s="86"/>
    </row>
    <row r="25" spans="1:24" x14ac:dyDescent="0.3">
      <c r="A25" s="53">
        <v>46190</v>
      </c>
      <c r="B25" s="54">
        <v>0.95833333333333337</v>
      </c>
      <c r="C25" s="55" t="s">
        <v>128</v>
      </c>
      <c r="D25" s="46">
        <v>0</v>
      </c>
      <c r="E25" s="46" t="s">
        <v>1</v>
      </c>
      <c r="F25" s="46">
        <v>2</v>
      </c>
      <c r="G25" s="55" t="s">
        <v>129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  <c r="R25" s="84"/>
      <c r="S25" s="85"/>
      <c r="T25" s="86"/>
      <c r="U25" s="48"/>
      <c r="V25" s="48"/>
      <c r="W25" s="48"/>
      <c r="X25" s="86"/>
    </row>
    <row r="26" spans="1:24" x14ac:dyDescent="0.3">
      <c r="A26" s="100">
        <v>46191</v>
      </c>
      <c r="B26" s="101">
        <v>0.54166666666666663</v>
      </c>
      <c r="C26" s="102" t="s">
        <v>111</v>
      </c>
      <c r="D26" s="103">
        <v>3</v>
      </c>
      <c r="E26" s="103" t="s">
        <v>1</v>
      </c>
      <c r="F26" s="103">
        <v>1</v>
      </c>
      <c r="G26" s="102" t="s">
        <v>88</v>
      </c>
      <c r="K26" s="8" t="str">
        <f t="shared" si="3"/>
        <v>República Tcheca</v>
      </c>
      <c r="L26" s="9">
        <f t="shared" si="4"/>
        <v>3</v>
      </c>
      <c r="M26" s="9">
        <f t="shared" si="5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</row>
    <row r="27" spans="1:24" x14ac:dyDescent="0.3">
      <c r="A27" s="100">
        <v>46191</v>
      </c>
      <c r="B27" s="101">
        <v>0.66666666666666663</v>
      </c>
      <c r="C27" s="102" t="s">
        <v>72</v>
      </c>
      <c r="D27" s="103">
        <v>3</v>
      </c>
      <c r="E27" s="103" t="s">
        <v>1</v>
      </c>
      <c r="F27" s="103">
        <v>0</v>
      </c>
      <c r="G27" s="102" t="s">
        <v>112</v>
      </c>
      <c r="K27" s="8" t="str">
        <f t="shared" si="3"/>
        <v>Suíça</v>
      </c>
      <c r="L27" s="9">
        <f t="shared" si="4"/>
        <v>3</v>
      </c>
      <c r="M27" s="9">
        <f t="shared" si="5"/>
        <v>0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3</v>
      </c>
    </row>
    <row r="28" spans="1:24" x14ac:dyDescent="0.3">
      <c r="A28" s="100">
        <v>46191</v>
      </c>
      <c r="B28" s="101">
        <v>0.79166666666666663</v>
      </c>
      <c r="C28" s="102" t="s">
        <v>105</v>
      </c>
      <c r="D28" s="103">
        <v>3</v>
      </c>
      <c r="E28" s="103" t="s">
        <v>1</v>
      </c>
      <c r="F28" s="103">
        <v>1</v>
      </c>
      <c r="G28" s="102" t="s">
        <v>97</v>
      </c>
      <c r="K28" s="8" t="str">
        <f t="shared" si="3"/>
        <v>Canadá</v>
      </c>
      <c r="L28" s="9">
        <f t="shared" si="4"/>
        <v>3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</row>
    <row r="29" spans="1:24" x14ac:dyDescent="0.3">
      <c r="A29" s="100">
        <v>46191</v>
      </c>
      <c r="B29" s="101">
        <v>0.91666666666666663</v>
      </c>
      <c r="C29" s="102" t="s">
        <v>13</v>
      </c>
      <c r="D29" s="103">
        <v>2</v>
      </c>
      <c r="E29" s="103" t="s">
        <v>1</v>
      </c>
      <c r="F29" s="103">
        <v>2</v>
      </c>
      <c r="G29" s="102" t="s">
        <v>15</v>
      </c>
      <c r="K29" s="8" t="str">
        <f t="shared" si="3"/>
        <v>EMPATE</v>
      </c>
      <c r="L29" s="9">
        <f t="shared" si="4"/>
        <v>2</v>
      </c>
      <c r="M29" s="9">
        <f t="shared" si="5"/>
        <v>2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</row>
    <row r="30" spans="1:24" x14ac:dyDescent="0.3">
      <c r="A30" s="100">
        <v>46192</v>
      </c>
      <c r="B30" s="101">
        <v>0.66666666666666663</v>
      </c>
      <c r="C30" s="102" t="s">
        <v>104</v>
      </c>
      <c r="D30" s="103">
        <v>3</v>
      </c>
      <c r="E30" s="103" t="s">
        <v>1</v>
      </c>
      <c r="F30" s="103">
        <v>1</v>
      </c>
      <c r="G30" s="102" t="s">
        <v>8</v>
      </c>
      <c r="K30" s="8" t="str">
        <f t="shared" si="3"/>
        <v>Estados Unidos</v>
      </c>
      <c r="L30" s="9">
        <f t="shared" si="4"/>
        <v>3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3</v>
      </c>
    </row>
    <row r="31" spans="1:24" x14ac:dyDescent="0.3">
      <c r="A31" s="100">
        <v>46192</v>
      </c>
      <c r="B31" s="101">
        <v>0.79166666666666663</v>
      </c>
      <c r="C31" s="102" t="s">
        <v>114</v>
      </c>
      <c r="D31" s="103">
        <v>1</v>
      </c>
      <c r="E31" s="103" t="s">
        <v>1</v>
      </c>
      <c r="F31" s="103">
        <v>4</v>
      </c>
      <c r="G31" s="102" t="s">
        <v>4</v>
      </c>
      <c r="K31" s="8" t="str">
        <f t="shared" si="3"/>
        <v>Marrocos</v>
      </c>
      <c r="L31" s="9">
        <f t="shared" si="4"/>
        <v>4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</row>
    <row r="32" spans="1:24" x14ac:dyDescent="0.3">
      <c r="A32" s="100">
        <v>46192</v>
      </c>
      <c r="B32" s="101">
        <v>0.89583333333333337</v>
      </c>
      <c r="C32" s="102" t="s">
        <v>11</v>
      </c>
      <c r="D32" s="103">
        <v>5</v>
      </c>
      <c r="E32" s="103" t="s">
        <v>1</v>
      </c>
      <c r="F32" s="103">
        <v>1</v>
      </c>
      <c r="G32" s="102" t="s">
        <v>113</v>
      </c>
      <c r="K32" s="8" t="str">
        <f t="shared" si="3"/>
        <v>Brasil</v>
      </c>
      <c r="L32" s="9">
        <f t="shared" si="4"/>
        <v>5</v>
      </c>
      <c r="M32" s="9">
        <f t="shared" si="5"/>
        <v>1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3</v>
      </c>
    </row>
    <row r="33" spans="1:15" x14ac:dyDescent="0.3">
      <c r="A33" s="100">
        <v>46193</v>
      </c>
      <c r="B33" s="101">
        <v>4.1666666666666664E-2</v>
      </c>
      <c r="C33" s="102" t="s">
        <v>116</v>
      </c>
      <c r="D33" s="103">
        <v>1</v>
      </c>
      <c r="E33" s="103" t="s">
        <v>1</v>
      </c>
      <c r="F33" s="103">
        <v>3</v>
      </c>
      <c r="G33" s="102" t="s">
        <v>115</v>
      </c>
      <c r="K33" s="8" t="str">
        <f t="shared" si="3"/>
        <v>Paraguai</v>
      </c>
      <c r="L33" s="9">
        <f t="shared" si="4"/>
        <v>3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3</v>
      </c>
    </row>
    <row r="34" spans="1:15" x14ac:dyDescent="0.3">
      <c r="A34" s="100">
        <v>46193</v>
      </c>
      <c r="B34" s="101">
        <v>0.58333333333333337</v>
      </c>
      <c r="C34" s="102" t="s">
        <v>78</v>
      </c>
      <c r="D34" s="103">
        <v>1</v>
      </c>
      <c r="E34" s="103" t="s">
        <v>1</v>
      </c>
      <c r="F34" s="103">
        <v>3</v>
      </c>
      <c r="G34" s="102" t="s">
        <v>14</v>
      </c>
      <c r="K34" s="8" t="str">
        <f t="shared" si="3"/>
        <v>Suécia</v>
      </c>
      <c r="L34" s="9">
        <f t="shared" si="4"/>
        <v>3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</row>
    <row r="35" spans="1:15" x14ac:dyDescent="0.3">
      <c r="A35" s="100">
        <v>46193</v>
      </c>
      <c r="B35" s="101">
        <v>0.70833333333333337</v>
      </c>
      <c r="C35" s="102" t="s">
        <v>12</v>
      </c>
      <c r="D35" s="103">
        <v>4</v>
      </c>
      <c r="E35" s="103" t="s">
        <v>1</v>
      </c>
      <c r="F35" s="103">
        <v>1</v>
      </c>
      <c r="G35" s="102" t="s">
        <v>118</v>
      </c>
      <c r="K35" s="8" t="str">
        <f t="shared" si="3"/>
        <v>Alemanha</v>
      </c>
      <c r="L35" s="9">
        <f t="shared" si="4"/>
        <v>4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</row>
    <row r="36" spans="1:15" x14ac:dyDescent="0.3">
      <c r="A36" s="100">
        <v>46193</v>
      </c>
      <c r="B36" s="101">
        <v>0.875</v>
      </c>
      <c r="C36" s="102" t="s">
        <v>102</v>
      </c>
      <c r="D36" s="103">
        <v>4</v>
      </c>
      <c r="E36" s="103" t="s">
        <v>1</v>
      </c>
      <c r="F36" s="103">
        <v>2</v>
      </c>
      <c r="G36" s="102" t="s">
        <v>117</v>
      </c>
      <c r="K36" s="8" t="str">
        <f t="shared" si="3"/>
        <v>Equador</v>
      </c>
      <c r="L36" s="9">
        <f t="shared" si="4"/>
        <v>4</v>
      </c>
      <c r="M36" s="9">
        <f t="shared" si="5"/>
        <v>2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</row>
    <row r="37" spans="1:15" x14ac:dyDescent="0.3">
      <c r="A37" s="100">
        <v>46194</v>
      </c>
      <c r="B37" s="101">
        <v>4.1666666666666664E-2</v>
      </c>
      <c r="C37" s="102" t="s">
        <v>17</v>
      </c>
      <c r="D37" s="103">
        <v>1</v>
      </c>
      <c r="E37" s="103" t="s">
        <v>1</v>
      </c>
      <c r="F37" s="103">
        <v>3</v>
      </c>
      <c r="G37" s="102" t="s">
        <v>19</v>
      </c>
      <c r="K37" s="8" t="str">
        <f t="shared" si="3"/>
        <v>Japão</v>
      </c>
      <c r="L37" s="9">
        <f t="shared" si="4"/>
        <v>3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</row>
    <row r="38" spans="1:15" x14ac:dyDescent="0.3">
      <c r="A38" s="100">
        <v>46194</v>
      </c>
      <c r="B38" s="101">
        <v>0.54166666666666663</v>
      </c>
      <c r="C38" s="102" t="s">
        <v>6</v>
      </c>
      <c r="D38" s="103">
        <v>3</v>
      </c>
      <c r="E38" s="103" t="s">
        <v>1</v>
      </c>
      <c r="F38" s="103">
        <v>1</v>
      </c>
      <c r="G38" s="102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1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3</v>
      </c>
    </row>
    <row r="39" spans="1:15" x14ac:dyDescent="0.3">
      <c r="A39" s="100">
        <v>46194</v>
      </c>
      <c r="B39" s="101">
        <v>0.66666666666666663</v>
      </c>
      <c r="C39" s="102" t="s">
        <v>16</v>
      </c>
      <c r="D39" s="103">
        <v>4</v>
      </c>
      <c r="E39" s="103" t="s">
        <v>1</v>
      </c>
      <c r="F39" s="103">
        <v>1</v>
      </c>
      <c r="G39" s="102" t="s">
        <v>103</v>
      </c>
      <c r="K39" s="8" t="str">
        <f t="shared" si="3"/>
        <v>Bélgica</v>
      </c>
      <c r="L39" s="9">
        <f t="shared" si="4"/>
        <v>4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</row>
    <row r="40" spans="1:15" x14ac:dyDescent="0.3">
      <c r="A40" s="100">
        <v>46194</v>
      </c>
      <c r="B40" s="101">
        <v>0.79166666666666663</v>
      </c>
      <c r="C40" s="102" t="s">
        <v>3</v>
      </c>
      <c r="D40" s="103">
        <v>3</v>
      </c>
      <c r="E40" s="103" t="s">
        <v>1</v>
      </c>
      <c r="F40" s="103">
        <v>0</v>
      </c>
      <c r="G40" s="102" t="s">
        <v>121</v>
      </c>
      <c r="K40" s="8" t="str">
        <f t="shared" si="3"/>
        <v>Uruguai</v>
      </c>
      <c r="L40" s="9">
        <f t="shared" si="4"/>
        <v>3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</row>
    <row r="41" spans="1:15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1</v>
      </c>
      <c r="G41" s="102" t="s">
        <v>119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</row>
    <row r="42" spans="1:15" x14ac:dyDescent="0.3">
      <c r="A42" s="100">
        <v>46195</v>
      </c>
      <c r="B42" s="101">
        <v>0.58333333333333337</v>
      </c>
      <c r="C42" s="102" t="s">
        <v>9</v>
      </c>
      <c r="D42" s="103">
        <v>3</v>
      </c>
      <c r="E42" s="103" t="s">
        <v>1</v>
      </c>
      <c r="F42" s="103">
        <v>0</v>
      </c>
      <c r="G42" s="102" t="s">
        <v>125</v>
      </c>
      <c r="K42" s="8" t="str">
        <f t="shared" si="3"/>
        <v>Argentina</v>
      </c>
      <c r="L42" s="9">
        <f t="shared" si="4"/>
        <v>3</v>
      </c>
      <c r="M42" s="9">
        <f t="shared" si="5"/>
        <v>0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4</v>
      </c>
    </row>
    <row r="43" spans="1:15" x14ac:dyDescent="0.3">
      <c r="A43" s="100">
        <v>46195</v>
      </c>
      <c r="B43" s="101">
        <v>0.75</v>
      </c>
      <c r="C43" s="102" t="s">
        <v>7</v>
      </c>
      <c r="D43" s="103">
        <v>6</v>
      </c>
      <c r="E43" s="103" t="s">
        <v>1</v>
      </c>
      <c r="F43" s="103">
        <v>1</v>
      </c>
      <c r="G43" s="102" t="s">
        <v>122</v>
      </c>
      <c r="K43" s="8" t="str">
        <f t="shared" si="3"/>
        <v>França</v>
      </c>
      <c r="L43" s="9">
        <f t="shared" si="4"/>
        <v>6</v>
      </c>
      <c r="M43" s="9">
        <f t="shared" si="5"/>
        <v>1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3</v>
      </c>
    </row>
    <row r="44" spans="1:15" x14ac:dyDescent="0.3">
      <c r="A44" s="100">
        <v>46195</v>
      </c>
      <c r="B44" s="101">
        <v>0.875</v>
      </c>
      <c r="C44" s="102" t="s">
        <v>123</v>
      </c>
      <c r="D44" s="103">
        <v>4</v>
      </c>
      <c r="E44" s="103" t="s">
        <v>1</v>
      </c>
      <c r="F44" s="103">
        <v>1</v>
      </c>
      <c r="G44" s="102" t="s">
        <v>20</v>
      </c>
      <c r="K44" s="8" t="str">
        <f t="shared" si="3"/>
        <v>Noruega</v>
      </c>
      <c r="L44" s="9">
        <f t="shared" si="4"/>
        <v>4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</row>
    <row r="45" spans="1:15" x14ac:dyDescent="0.3">
      <c r="A45" s="100">
        <v>46196</v>
      </c>
      <c r="B45" s="101">
        <v>0</v>
      </c>
      <c r="C45" s="102" t="s">
        <v>126</v>
      </c>
      <c r="D45" s="103">
        <v>1</v>
      </c>
      <c r="E45" s="103" t="s">
        <v>1</v>
      </c>
      <c r="F45" s="103">
        <v>2</v>
      </c>
      <c r="G45" s="102" t="s">
        <v>124</v>
      </c>
      <c r="K45" s="8" t="str">
        <f t="shared" si="3"/>
        <v>Argélia</v>
      </c>
      <c r="L45" s="9">
        <f t="shared" si="4"/>
        <v>2</v>
      </c>
      <c r="M45" s="9">
        <f t="shared" si="5"/>
        <v>1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9</v>
      </c>
    </row>
    <row r="46" spans="1:15" ht="15" customHeight="1" x14ac:dyDescent="0.3">
      <c r="A46" s="100">
        <v>46196</v>
      </c>
      <c r="B46" s="101">
        <v>0.58333333333333337</v>
      </c>
      <c r="C46" s="102" t="s">
        <v>5</v>
      </c>
      <c r="D46" s="103">
        <v>5</v>
      </c>
      <c r="E46" s="103" t="s">
        <v>1</v>
      </c>
      <c r="F46" s="103">
        <v>1</v>
      </c>
      <c r="G46" s="102" t="s">
        <v>128</v>
      </c>
      <c r="K46" s="8" t="str">
        <f t="shared" si="3"/>
        <v>Portugal</v>
      </c>
      <c r="L46" s="9">
        <f t="shared" si="4"/>
        <v>5</v>
      </c>
      <c r="M46" s="9">
        <f t="shared" si="5"/>
        <v>1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6</v>
      </c>
    </row>
    <row r="47" spans="1:15" x14ac:dyDescent="0.3">
      <c r="A47" s="100">
        <v>46196</v>
      </c>
      <c r="B47" s="101">
        <v>0.70833333333333337</v>
      </c>
      <c r="C47" s="102" t="s">
        <v>18</v>
      </c>
      <c r="D47" s="103">
        <v>5</v>
      </c>
      <c r="E47" s="103" t="s">
        <v>1</v>
      </c>
      <c r="F47" s="103">
        <v>0</v>
      </c>
      <c r="G47" s="102" t="s">
        <v>106</v>
      </c>
      <c r="K47" s="8" t="str">
        <f t="shared" si="3"/>
        <v>Inglaterra</v>
      </c>
      <c r="L47" s="9">
        <f t="shared" si="4"/>
        <v>5</v>
      </c>
      <c r="M47" s="9">
        <f t="shared" si="5"/>
        <v>0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</row>
    <row r="48" spans="1:15" x14ac:dyDescent="0.3">
      <c r="A48" s="100">
        <v>46196</v>
      </c>
      <c r="B48" s="101">
        <v>0.83333333333333337</v>
      </c>
      <c r="C48" s="102" t="s">
        <v>130</v>
      </c>
      <c r="D48" s="103">
        <v>1</v>
      </c>
      <c r="E48" s="103" t="s">
        <v>1</v>
      </c>
      <c r="F48" s="103">
        <v>3</v>
      </c>
      <c r="G48" s="102" t="s">
        <v>10</v>
      </c>
      <c r="K48" s="8" t="str">
        <f t="shared" si="3"/>
        <v>Croácia</v>
      </c>
      <c r="L48" s="9">
        <f t="shared" si="4"/>
        <v>3</v>
      </c>
      <c r="M48" s="9">
        <f t="shared" si="5"/>
        <v>1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3</v>
      </c>
    </row>
    <row r="49" spans="1:15" x14ac:dyDescent="0.3">
      <c r="A49" s="104">
        <v>46196</v>
      </c>
      <c r="B49" s="101">
        <v>0.95833333333333337</v>
      </c>
      <c r="C49" s="105" t="s">
        <v>129</v>
      </c>
      <c r="D49" s="106">
        <v>4</v>
      </c>
      <c r="E49" s="106" t="s">
        <v>1</v>
      </c>
      <c r="F49" s="106">
        <v>1</v>
      </c>
      <c r="G49" s="105" t="s">
        <v>127</v>
      </c>
      <c r="K49" s="8" t="str">
        <f t="shared" si="3"/>
        <v>Colômbia</v>
      </c>
      <c r="L49" s="9">
        <f t="shared" si="4"/>
        <v>4</v>
      </c>
      <c r="M49" s="9">
        <f t="shared" si="5"/>
        <v>1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3</v>
      </c>
    </row>
    <row r="50" spans="1:15" x14ac:dyDescent="0.3">
      <c r="A50" s="56">
        <v>46197</v>
      </c>
      <c r="B50" s="54">
        <v>0.66666666666666663</v>
      </c>
      <c r="C50" s="57" t="s">
        <v>72</v>
      </c>
      <c r="D50" s="58">
        <v>2</v>
      </c>
      <c r="E50" s="58" t="s">
        <v>1</v>
      </c>
      <c r="F50" s="58">
        <v>1</v>
      </c>
      <c r="G50" s="57" t="s">
        <v>105</v>
      </c>
      <c r="K50" s="8" t="str">
        <f t="shared" si="3"/>
        <v>Suíça</v>
      </c>
      <c r="L50" s="9">
        <f t="shared" si="4"/>
        <v>2</v>
      </c>
      <c r="M50" s="9">
        <f t="shared" si="5"/>
        <v>1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9</v>
      </c>
    </row>
    <row r="51" spans="1:15" x14ac:dyDescent="0.3">
      <c r="A51" s="56">
        <v>46197</v>
      </c>
      <c r="B51" s="54">
        <v>0.66666666666666663</v>
      </c>
      <c r="C51" s="57" t="s">
        <v>112</v>
      </c>
      <c r="D51" s="58">
        <v>3</v>
      </c>
      <c r="E51" s="58" t="s">
        <v>1</v>
      </c>
      <c r="F51" s="58">
        <v>0</v>
      </c>
      <c r="G51" s="57" t="s">
        <v>97</v>
      </c>
      <c r="K51" s="8" t="str">
        <f t="shared" si="3"/>
        <v>Bósnia</v>
      </c>
      <c r="L51" s="9">
        <f t="shared" si="4"/>
        <v>3</v>
      </c>
      <c r="M51" s="9">
        <f t="shared" si="5"/>
        <v>0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6</v>
      </c>
    </row>
    <row r="52" spans="1:15" x14ac:dyDescent="0.3">
      <c r="A52" s="56">
        <v>46197</v>
      </c>
      <c r="B52" s="54">
        <v>0.79166666666666663</v>
      </c>
      <c r="C52" s="59" t="s">
        <v>4</v>
      </c>
      <c r="D52" s="58">
        <v>6</v>
      </c>
      <c r="E52" s="58" t="s">
        <v>1</v>
      </c>
      <c r="F52" s="58">
        <v>0</v>
      </c>
      <c r="G52" s="59" t="s">
        <v>113</v>
      </c>
      <c r="K52" s="8" t="str">
        <f t="shared" si="3"/>
        <v>Marrocos</v>
      </c>
      <c r="L52" s="9">
        <f t="shared" si="4"/>
        <v>6</v>
      </c>
      <c r="M52" s="9">
        <f t="shared" si="5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</row>
    <row r="53" spans="1:15" x14ac:dyDescent="0.3">
      <c r="A53" s="56">
        <v>46197</v>
      </c>
      <c r="B53" s="54">
        <v>0.79166666666666663</v>
      </c>
      <c r="C53" s="59" t="s">
        <v>114</v>
      </c>
      <c r="D53" s="58">
        <v>1</v>
      </c>
      <c r="E53" s="58" t="s">
        <v>1</v>
      </c>
      <c r="F53" s="58">
        <v>4</v>
      </c>
      <c r="G53" s="59" t="s">
        <v>11</v>
      </c>
      <c r="K53" s="8" t="str">
        <f t="shared" si="3"/>
        <v>Brasil</v>
      </c>
      <c r="L53" s="9">
        <f t="shared" si="4"/>
        <v>4</v>
      </c>
      <c r="M53" s="9">
        <f t="shared" si="5"/>
        <v>1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3</v>
      </c>
    </row>
    <row r="54" spans="1:15" x14ac:dyDescent="0.3">
      <c r="A54" s="53">
        <v>46197</v>
      </c>
      <c r="B54" s="54">
        <v>0.91666666666666663</v>
      </c>
      <c r="C54" s="55" t="s">
        <v>88</v>
      </c>
      <c r="D54" s="46">
        <v>0</v>
      </c>
      <c r="E54" s="46" t="s">
        <v>1</v>
      </c>
      <c r="F54" s="46">
        <v>3</v>
      </c>
      <c r="G54" s="55" t="s">
        <v>15</v>
      </c>
      <c r="K54" s="8" t="str">
        <f t="shared" si="3"/>
        <v>Coréia do Sul</v>
      </c>
      <c r="L54" s="9">
        <f t="shared" si="4"/>
        <v>3</v>
      </c>
      <c r="M54" s="9">
        <f t="shared" si="5"/>
        <v>0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</row>
    <row r="55" spans="1:15" x14ac:dyDescent="0.3">
      <c r="A55" s="53">
        <v>46197</v>
      </c>
      <c r="B55" s="54">
        <v>0.91666666666666663</v>
      </c>
      <c r="C55" s="55" t="s">
        <v>111</v>
      </c>
      <c r="D55" s="46">
        <v>1</v>
      </c>
      <c r="E55" s="46" t="s">
        <v>1</v>
      </c>
      <c r="F55" s="46">
        <v>4</v>
      </c>
      <c r="G55" s="55" t="s">
        <v>13</v>
      </c>
      <c r="K55" s="8" t="str">
        <f t="shared" si="3"/>
        <v>México</v>
      </c>
      <c r="L55" s="9">
        <f t="shared" si="4"/>
        <v>4</v>
      </c>
      <c r="M55" s="9">
        <f t="shared" si="5"/>
        <v>1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3</v>
      </c>
    </row>
    <row r="56" spans="1:15" x14ac:dyDescent="0.3">
      <c r="A56" s="53">
        <v>46198</v>
      </c>
      <c r="B56" s="54">
        <v>0.70833333333333337</v>
      </c>
      <c r="C56" s="45" t="s">
        <v>102</v>
      </c>
      <c r="D56" s="46">
        <v>0</v>
      </c>
      <c r="E56" s="46" t="s">
        <v>1</v>
      </c>
      <c r="F56" s="46">
        <v>4</v>
      </c>
      <c r="G56" s="45" t="s">
        <v>12</v>
      </c>
      <c r="K56" s="8" t="str">
        <f t="shared" si="3"/>
        <v>Alemanha</v>
      </c>
      <c r="L56" s="9">
        <f t="shared" si="4"/>
        <v>4</v>
      </c>
      <c r="M56" s="9">
        <f t="shared" si="5"/>
        <v>0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</row>
    <row r="57" spans="1:15" x14ac:dyDescent="0.3">
      <c r="A57" s="53">
        <v>46198</v>
      </c>
      <c r="B57" s="54">
        <v>0.70833333333333337</v>
      </c>
      <c r="C57" s="45" t="s">
        <v>117</v>
      </c>
      <c r="D57" s="46">
        <v>0</v>
      </c>
      <c r="E57" s="46" t="s">
        <v>1</v>
      </c>
      <c r="F57" s="46">
        <v>5</v>
      </c>
      <c r="G57" s="45" t="s">
        <v>118</v>
      </c>
      <c r="K57" s="8" t="str">
        <f t="shared" si="3"/>
        <v>Costa do Marfim</v>
      </c>
      <c r="L57" s="9">
        <f t="shared" si="4"/>
        <v>5</v>
      </c>
      <c r="M57" s="9">
        <f t="shared" si="5"/>
        <v>0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4</v>
      </c>
    </row>
    <row r="58" spans="1:15" x14ac:dyDescent="0.3">
      <c r="A58" s="53">
        <v>46198</v>
      </c>
      <c r="B58" s="54">
        <v>0.83333333333333337</v>
      </c>
      <c r="C58" s="45" t="s">
        <v>17</v>
      </c>
      <c r="D58" s="46">
        <v>0</v>
      </c>
      <c r="E58" s="46" t="s">
        <v>1</v>
      </c>
      <c r="F58" s="46">
        <v>4</v>
      </c>
      <c r="G58" s="45" t="s">
        <v>78</v>
      </c>
      <c r="K58" s="8" t="str">
        <f t="shared" si="3"/>
        <v>Holanda</v>
      </c>
      <c r="L58" s="9">
        <f t="shared" si="4"/>
        <v>4</v>
      </c>
      <c r="M58" s="9">
        <f t="shared" si="5"/>
        <v>0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3</v>
      </c>
    </row>
    <row r="59" spans="1:15" x14ac:dyDescent="0.3">
      <c r="A59" s="53">
        <v>46198</v>
      </c>
      <c r="B59" s="54">
        <v>0.83333333333333337</v>
      </c>
      <c r="C59" s="45" t="s">
        <v>19</v>
      </c>
      <c r="D59" s="46">
        <v>3</v>
      </c>
      <c r="E59" s="46" t="s">
        <v>1</v>
      </c>
      <c r="F59" s="46">
        <v>2</v>
      </c>
      <c r="G59" s="45" t="s">
        <v>14</v>
      </c>
      <c r="K59" s="8" t="str">
        <f t="shared" si="3"/>
        <v>Japão</v>
      </c>
      <c r="L59" s="9">
        <f t="shared" si="4"/>
        <v>3</v>
      </c>
      <c r="M59" s="9">
        <f t="shared" si="5"/>
        <v>2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0</v>
      </c>
    </row>
    <row r="60" spans="1:15" x14ac:dyDescent="0.3">
      <c r="A60" s="53">
        <v>46198</v>
      </c>
      <c r="B60" s="54">
        <v>0.95833333333333337</v>
      </c>
      <c r="C60" s="45" t="s">
        <v>116</v>
      </c>
      <c r="D60" s="46">
        <v>0</v>
      </c>
      <c r="E60" s="46" t="s">
        <v>1</v>
      </c>
      <c r="F60" s="46">
        <v>4</v>
      </c>
      <c r="G60" s="45" t="s">
        <v>104</v>
      </c>
      <c r="K60" s="8" t="str">
        <f t="shared" si="3"/>
        <v>Estados Unidos</v>
      </c>
      <c r="L60" s="9">
        <f t="shared" si="4"/>
        <v>4</v>
      </c>
      <c r="M60" s="9">
        <f t="shared" si="5"/>
        <v>0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</row>
    <row r="61" spans="1:15" x14ac:dyDescent="0.3">
      <c r="A61" s="53">
        <v>46198</v>
      </c>
      <c r="B61" s="54">
        <v>0.95833333333333337</v>
      </c>
      <c r="C61" s="45" t="s">
        <v>115</v>
      </c>
      <c r="D61" s="46">
        <v>2</v>
      </c>
      <c r="E61" s="46" t="s">
        <v>1</v>
      </c>
      <c r="F61" s="46">
        <v>1</v>
      </c>
      <c r="G61" s="45" t="s">
        <v>8</v>
      </c>
      <c r="K61" s="8" t="str">
        <f t="shared" si="3"/>
        <v>Paraguai</v>
      </c>
      <c r="L61" s="9">
        <f t="shared" si="4"/>
        <v>2</v>
      </c>
      <c r="M61" s="9">
        <f t="shared" si="5"/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0</v>
      </c>
    </row>
    <row r="62" spans="1:15" x14ac:dyDescent="0.3">
      <c r="A62" s="53">
        <v>46199</v>
      </c>
      <c r="B62" s="54">
        <v>0.66666666666666663</v>
      </c>
      <c r="C62" s="45" t="s">
        <v>20</v>
      </c>
      <c r="D62" s="46">
        <v>3</v>
      </c>
      <c r="E62" s="46" t="s">
        <v>1</v>
      </c>
      <c r="F62" s="46">
        <v>1</v>
      </c>
      <c r="G62" s="45" t="s">
        <v>122</v>
      </c>
      <c r="K62" s="8" t="str">
        <f t="shared" si="3"/>
        <v>Senegal</v>
      </c>
      <c r="L62" s="9">
        <f t="shared" si="4"/>
        <v>3</v>
      </c>
      <c r="M62" s="9">
        <f t="shared" si="5"/>
        <v>1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3</v>
      </c>
    </row>
    <row r="63" spans="1:15" x14ac:dyDescent="0.3">
      <c r="A63" s="53">
        <v>46199</v>
      </c>
      <c r="B63" s="54">
        <v>0.66666666666666663</v>
      </c>
      <c r="C63" s="45" t="s">
        <v>123</v>
      </c>
      <c r="D63" s="46">
        <v>2</v>
      </c>
      <c r="E63" s="46" t="s">
        <v>1</v>
      </c>
      <c r="F63" s="46">
        <v>3</v>
      </c>
      <c r="G63" s="45" t="s">
        <v>7</v>
      </c>
      <c r="K63" s="8" t="str">
        <f t="shared" si="3"/>
        <v>França</v>
      </c>
      <c r="L63" s="9">
        <f t="shared" si="4"/>
        <v>3</v>
      </c>
      <c r="M63" s="9">
        <f t="shared" si="5"/>
        <v>2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3</v>
      </c>
    </row>
    <row r="64" spans="1:15" x14ac:dyDescent="0.3">
      <c r="A64" s="53">
        <v>46199</v>
      </c>
      <c r="B64" s="54">
        <v>0.875</v>
      </c>
      <c r="C64" s="45" t="s">
        <v>121</v>
      </c>
      <c r="D64" s="46">
        <v>2</v>
      </c>
      <c r="E64" s="46" t="s">
        <v>1</v>
      </c>
      <c r="F64" s="46">
        <v>1</v>
      </c>
      <c r="G64" s="45" t="s">
        <v>2</v>
      </c>
      <c r="K64" s="8" t="str">
        <f t="shared" si="3"/>
        <v>Cabo Verde</v>
      </c>
      <c r="L64" s="9">
        <f t="shared" si="4"/>
        <v>2</v>
      </c>
      <c r="M64" s="9">
        <f t="shared" si="5"/>
        <v>1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0</v>
      </c>
    </row>
    <row r="65" spans="1:15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4</v>
      </c>
      <c r="G65" s="45" t="s">
        <v>6</v>
      </c>
      <c r="K65" s="8" t="str">
        <f t="shared" si="3"/>
        <v>Espanha</v>
      </c>
      <c r="L65" s="9">
        <f t="shared" si="4"/>
        <v>4</v>
      </c>
      <c r="M65" s="9">
        <f t="shared" si="5"/>
        <v>1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3</v>
      </c>
    </row>
    <row r="66" spans="1:15" x14ac:dyDescent="0.3">
      <c r="A66" s="53">
        <v>46200</v>
      </c>
      <c r="B66" s="54">
        <v>0</v>
      </c>
      <c r="C66" s="45" t="s">
        <v>119</v>
      </c>
      <c r="D66" s="46">
        <v>2</v>
      </c>
      <c r="E66" s="46" t="s">
        <v>1</v>
      </c>
      <c r="F66" s="46">
        <v>0</v>
      </c>
      <c r="G66" s="45" t="s">
        <v>103</v>
      </c>
      <c r="K66" s="8" t="str">
        <f t="shared" si="3"/>
        <v>Egito</v>
      </c>
      <c r="L66" s="9">
        <f t="shared" si="4"/>
        <v>2</v>
      </c>
      <c r="M66" s="9">
        <f t="shared" si="5"/>
        <v>0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0</v>
      </c>
    </row>
    <row r="67" spans="1:15" x14ac:dyDescent="0.3">
      <c r="A67" s="53">
        <v>46200</v>
      </c>
      <c r="B67" s="54">
        <v>0</v>
      </c>
      <c r="C67" s="45" t="s">
        <v>120</v>
      </c>
      <c r="D67" s="46">
        <v>1</v>
      </c>
      <c r="E67" s="46" t="s">
        <v>1</v>
      </c>
      <c r="F67" s="46">
        <v>2</v>
      </c>
      <c r="G67" s="45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1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4</v>
      </c>
    </row>
    <row r="68" spans="1:15" x14ac:dyDescent="0.3">
      <c r="A68" s="53">
        <v>46200</v>
      </c>
      <c r="B68" s="54">
        <v>0.75</v>
      </c>
      <c r="C68" s="45" t="s">
        <v>10</v>
      </c>
      <c r="D68" s="46">
        <v>3</v>
      </c>
      <c r="E68" s="46" t="s">
        <v>1</v>
      </c>
      <c r="F68" s="46">
        <v>1</v>
      </c>
      <c r="G68" s="45" t="s">
        <v>106</v>
      </c>
      <c r="K68" s="8" t="str">
        <f t="shared" si="3"/>
        <v>Croácia</v>
      </c>
      <c r="L68" s="9">
        <f t="shared" si="4"/>
        <v>3</v>
      </c>
      <c r="M68" s="9">
        <f t="shared" si="5"/>
        <v>1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4</v>
      </c>
    </row>
    <row r="69" spans="1:15" x14ac:dyDescent="0.3">
      <c r="A69" s="53">
        <v>46200</v>
      </c>
      <c r="B69" s="54">
        <v>0.75</v>
      </c>
      <c r="C69" s="45" t="s">
        <v>130</v>
      </c>
      <c r="D69" s="46">
        <v>0</v>
      </c>
      <c r="E69" s="46" t="s">
        <v>1</v>
      </c>
      <c r="F69" s="46">
        <v>6</v>
      </c>
      <c r="G69" s="45" t="s">
        <v>18</v>
      </c>
      <c r="K69" s="8" t="str">
        <f t="shared" ref="K69:K71" si="7">IF(D69="","",IF(D69&gt;F69,C69,IF(F69&gt;D69,G69,"EMPATE")))</f>
        <v>Inglaterra</v>
      </c>
      <c r="L69" s="9">
        <f t="shared" ref="L69:L71" si="8">IF(D69="","",IF(D69&gt;F69,D69,IF(F69&gt;D69,F69,D69)))</f>
        <v>6</v>
      </c>
      <c r="M69" s="9">
        <f t="shared" ref="M69:M71" si="9">IF(D69="","",IF(D69&lt;F69,D69,IF(F69&lt;D69,F69,D69)))</f>
        <v>0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4</v>
      </c>
    </row>
    <row r="70" spans="1:15" x14ac:dyDescent="0.3">
      <c r="A70" s="53">
        <v>46200</v>
      </c>
      <c r="B70" s="54">
        <v>0.85416666666666663</v>
      </c>
      <c r="C70" s="45" t="s">
        <v>127</v>
      </c>
      <c r="D70" s="46">
        <v>1</v>
      </c>
      <c r="E70" s="46" t="s">
        <v>1</v>
      </c>
      <c r="F70" s="46">
        <v>0</v>
      </c>
      <c r="G70" s="45" t="s">
        <v>128</v>
      </c>
      <c r="K70" s="8" t="str">
        <f t="shared" si="7"/>
        <v>RD Congo</v>
      </c>
      <c r="L70" s="9">
        <f t="shared" si="8"/>
        <v>1</v>
      </c>
      <c r="M70" s="9">
        <f t="shared" si="9"/>
        <v>0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3</v>
      </c>
    </row>
    <row r="71" spans="1:15" x14ac:dyDescent="0.3">
      <c r="A71" s="53">
        <v>46200</v>
      </c>
      <c r="B71" s="54">
        <v>0.85416666666666663</v>
      </c>
      <c r="C71" s="45" t="s">
        <v>129</v>
      </c>
      <c r="D71" s="46">
        <v>2</v>
      </c>
      <c r="E71" s="46" t="s">
        <v>1</v>
      </c>
      <c r="F71" s="46">
        <v>1</v>
      </c>
      <c r="G71" s="45" t="s">
        <v>5</v>
      </c>
      <c r="K71" s="8" t="str">
        <f t="shared" si="7"/>
        <v>Colômbia</v>
      </c>
      <c r="L71" s="9">
        <f t="shared" si="8"/>
        <v>2</v>
      </c>
      <c r="M71" s="9">
        <f t="shared" si="9"/>
        <v>1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0</v>
      </c>
    </row>
    <row r="72" spans="1:15" x14ac:dyDescent="0.3">
      <c r="A72" s="53">
        <v>46200</v>
      </c>
      <c r="B72" s="54">
        <v>0.95833333333333337</v>
      </c>
      <c r="C72" s="45" t="s">
        <v>126</v>
      </c>
      <c r="D72" s="46">
        <v>1</v>
      </c>
      <c r="E72" s="46" t="s">
        <v>1</v>
      </c>
      <c r="F72" s="46">
        <v>4</v>
      </c>
      <c r="G72" s="45" t="s">
        <v>9</v>
      </c>
      <c r="K72" s="8" t="str">
        <f t="shared" ref="K72:K105" si="10">IF(D72="","",IF(D72&gt;F72,C72,IF(F72&gt;D72,G72,"EMPATE")))</f>
        <v>Argentina</v>
      </c>
      <c r="L72" s="9">
        <f t="shared" ref="L72:L105" si="11">IF(D72="","",IF(D72&gt;F72,D72,IF(F72&gt;D72,F72,D72)))</f>
        <v>4</v>
      </c>
      <c r="M72" s="9">
        <f t="shared" ref="M72:M105" si="12">IF(D72="","",IF(D72&lt;F72,D72,IF(F72&lt;D72,F72,D72)))</f>
        <v>1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4</v>
      </c>
    </row>
    <row r="73" spans="1:15" x14ac:dyDescent="0.3">
      <c r="A73" s="53">
        <v>46200</v>
      </c>
      <c r="B73" s="54">
        <v>0.95833333333333337</v>
      </c>
      <c r="C73" s="45" t="s">
        <v>124</v>
      </c>
      <c r="D73" s="46">
        <v>1</v>
      </c>
      <c r="E73" s="46" t="s">
        <v>1</v>
      </c>
      <c r="F73" s="46">
        <v>2</v>
      </c>
      <c r="G73" s="45" t="s">
        <v>125</v>
      </c>
      <c r="K73" s="8" t="str">
        <f t="shared" si="10"/>
        <v>Áustria</v>
      </c>
      <c r="L73" s="9">
        <f t="shared" si="11"/>
        <v>2</v>
      </c>
      <c r="M73" s="9">
        <f t="shared" si="12"/>
        <v>1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0</v>
      </c>
    </row>
    <row r="74" spans="1:15" x14ac:dyDescent="0.3">
      <c r="A74" s="60">
        <v>46201</v>
      </c>
      <c r="B74" s="61">
        <v>0.66666666666666663</v>
      </c>
      <c r="C74" s="62" t="s">
        <v>88</v>
      </c>
      <c r="D74" s="63">
        <v>1</v>
      </c>
      <c r="E74" s="63" t="s">
        <v>1</v>
      </c>
      <c r="F74" s="63">
        <v>3</v>
      </c>
      <c r="G74" s="62" t="s">
        <v>105</v>
      </c>
      <c r="K74" s="8" t="str">
        <f t="shared" si="10"/>
        <v>Canadá</v>
      </c>
      <c r="L74" s="9">
        <f t="shared" si="11"/>
        <v>3</v>
      </c>
      <c r="M74" s="9">
        <f t="shared" si="12"/>
        <v>1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</row>
    <row r="75" spans="1:15" x14ac:dyDescent="0.3">
      <c r="A75" s="60">
        <v>46202</v>
      </c>
      <c r="B75" s="61">
        <v>0.58333333333333337</v>
      </c>
      <c r="C75" s="62" t="s">
        <v>11</v>
      </c>
      <c r="D75" s="63">
        <v>3</v>
      </c>
      <c r="E75" s="63" t="s">
        <v>1</v>
      </c>
      <c r="F75" s="63">
        <v>2</v>
      </c>
      <c r="G75" s="62" t="s">
        <v>19</v>
      </c>
      <c r="K75" s="8" t="str">
        <f t="shared" si="10"/>
        <v>Brasil</v>
      </c>
      <c r="L75" s="9">
        <f t="shared" si="11"/>
        <v>3</v>
      </c>
      <c r="M75" s="9">
        <f t="shared" si="12"/>
        <v>2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</row>
    <row r="76" spans="1:15" x14ac:dyDescent="0.3">
      <c r="A76" s="60">
        <v>46202</v>
      </c>
      <c r="B76" s="61">
        <v>0.72916666666666663</v>
      </c>
      <c r="C76" s="62" t="s">
        <v>12</v>
      </c>
      <c r="D76" s="63">
        <v>3</v>
      </c>
      <c r="E76" s="63" t="s">
        <v>1</v>
      </c>
      <c r="F76" s="63">
        <v>1</v>
      </c>
      <c r="G76" s="62" t="s">
        <v>115</v>
      </c>
      <c r="K76" s="8" t="str">
        <f t="shared" si="10"/>
        <v>Alemanha</v>
      </c>
      <c r="L76" s="9">
        <f t="shared" si="11"/>
        <v>3</v>
      </c>
      <c r="M76" s="9">
        <f t="shared" si="12"/>
        <v>1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</row>
    <row r="77" spans="1:15" x14ac:dyDescent="0.3">
      <c r="A77" s="60">
        <v>46202</v>
      </c>
      <c r="B77" s="61">
        <v>0.91666666666666663</v>
      </c>
      <c r="C77" s="62" t="s">
        <v>78</v>
      </c>
      <c r="D77" s="63">
        <v>2</v>
      </c>
      <c r="E77" s="63" t="s">
        <v>1</v>
      </c>
      <c r="F77" s="63">
        <v>1</v>
      </c>
      <c r="G77" s="62" t="s">
        <v>4</v>
      </c>
      <c r="K77" s="8" t="str">
        <f t="shared" si="10"/>
        <v>Holanda</v>
      </c>
      <c r="L77" s="9">
        <f t="shared" si="11"/>
        <v>2</v>
      </c>
      <c r="M77" s="9">
        <f t="shared" si="12"/>
        <v>1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</row>
    <row r="78" spans="1:15" x14ac:dyDescent="0.3">
      <c r="A78" s="60">
        <v>46203</v>
      </c>
      <c r="B78" s="61">
        <v>0.58333333333333337</v>
      </c>
      <c r="C78" s="62" t="s">
        <v>118</v>
      </c>
      <c r="D78" s="63">
        <v>2</v>
      </c>
      <c r="E78" s="63" t="s">
        <v>1</v>
      </c>
      <c r="F78" s="63">
        <v>2</v>
      </c>
      <c r="G78" s="62" t="s">
        <v>123</v>
      </c>
      <c r="K78" s="8" t="str">
        <f t="shared" si="10"/>
        <v>EMPATE</v>
      </c>
      <c r="L78" s="9">
        <f t="shared" si="11"/>
        <v>2</v>
      </c>
      <c r="M78" s="9">
        <f t="shared" si="12"/>
        <v>2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</row>
    <row r="79" spans="1:15" x14ac:dyDescent="0.3">
      <c r="A79" s="60">
        <v>46203</v>
      </c>
      <c r="B79" s="61">
        <v>0.75</v>
      </c>
      <c r="C79" s="62" t="s">
        <v>7</v>
      </c>
      <c r="D79" s="63">
        <v>4</v>
      </c>
      <c r="E79" s="63" t="s">
        <v>1</v>
      </c>
      <c r="F79" s="63">
        <v>1</v>
      </c>
      <c r="G79" s="62" t="s">
        <v>14</v>
      </c>
      <c r="K79" s="8" t="str">
        <f t="shared" si="10"/>
        <v>França</v>
      </c>
      <c r="L79" s="9">
        <f t="shared" si="11"/>
        <v>4</v>
      </c>
      <c r="M79" s="9">
        <f t="shared" si="12"/>
        <v>1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</row>
    <row r="80" spans="1:15" x14ac:dyDescent="0.3">
      <c r="A80" s="60">
        <v>46203</v>
      </c>
      <c r="B80" s="61">
        <v>0.91666666666666663</v>
      </c>
      <c r="C80" s="62" t="s">
        <v>13</v>
      </c>
      <c r="D80" s="63">
        <v>2</v>
      </c>
      <c r="E80" s="63" t="s">
        <v>1</v>
      </c>
      <c r="F80" s="63">
        <v>1</v>
      </c>
      <c r="G80" s="62" t="s">
        <v>102</v>
      </c>
      <c r="K80" s="8" t="str">
        <f t="shared" si="10"/>
        <v>México</v>
      </c>
      <c r="L80" s="9">
        <f t="shared" si="11"/>
        <v>2</v>
      </c>
      <c r="M80" s="9">
        <f t="shared" si="12"/>
        <v>1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</row>
    <row r="81" spans="1:15" x14ac:dyDescent="0.3">
      <c r="A81" s="60">
        <v>46204</v>
      </c>
      <c r="B81" s="61">
        <v>0.54166666666666663</v>
      </c>
      <c r="C81" s="62" t="s">
        <v>18</v>
      </c>
      <c r="D81" s="63">
        <v>2</v>
      </c>
      <c r="E81" s="63" t="s">
        <v>1</v>
      </c>
      <c r="F81" s="63">
        <v>0</v>
      </c>
      <c r="G81" s="62" t="s">
        <v>127</v>
      </c>
      <c r="K81" s="8" t="str">
        <f t="shared" si="10"/>
        <v>Inglaterra</v>
      </c>
      <c r="L81" s="9">
        <f t="shared" si="11"/>
        <v>2</v>
      </c>
      <c r="M81" s="9">
        <f t="shared" si="12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</row>
    <row r="82" spans="1:15" x14ac:dyDescent="0.3">
      <c r="A82" s="60">
        <v>46204</v>
      </c>
      <c r="B82" s="61">
        <v>0.70833333333333337</v>
      </c>
      <c r="C82" s="62" t="s">
        <v>16</v>
      </c>
      <c r="D82" s="63">
        <v>1</v>
      </c>
      <c r="E82" s="63" t="s">
        <v>1</v>
      </c>
      <c r="F82" s="63">
        <v>2</v>
      </c>
      <c r="G82" s="62" t="s">
        <v>20</v>
      </c>
      <c r="K82" s="8" t="str">
        <f t="shared" si="10"/>
        <v>Senegal</v>
      </c>
      <c r="L82" s="9">
        <f t="shared" si="11"/>
        <v>2</v>
      </c>
      <c r="M82" s="9">
        <f t="shared" si="12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</row>
    <row r="83" spans="1:15" x14ac:dyDescent="0.3">
      <c r="A83" s="60">
        <v>46204</v>
      </c>
      <c r="B83" s="61">
        <v>0.875</v>
      </c>
      <c r="C83" s="62" t="s">
        <v>104</v>
      </c>
      <c r="D83" s="63">
        <v>3</v>
      </c>
      <c r="E83" s="63" t="s">
        <v>1</v>
      </c>
      <c r="F83" s="63">
        <v>0</v>
      </c>
      <c r="G83" s="62" t="s">
        <v>112</v>
      </c>
      <c r="K83" s="8" t="str">
        <f t="shared" si="10"/>
        <v>Estados Unidos</v>
      </c>
      <c r="L83" s="9">
        <f t="shared" si="11"/>
        <v>3</v>
      </c>
      <c r="M83" s="9">
        <f t="shared" si="12"/>
        <v>0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</row>
    <row r="84" spans="1:15" x14ac:dyDescent="0.3">
      <c r="A84" s="60">
        <v>46205</v>
      </c>
      <c r="B84" s="61">
        <v>0.66666666666666663</v>
      </c>
      <c r="C84" s="62" t="s">
        <v>6</v>
      </c>
      <c r="D84" s="63">
        <v>4</v>
      </c>
      <c r="E84" s="63" t="s">
        <v>1</v>
      </c>
      <c r="F84" s="63">
        <v>0</v>
      </c>
      <c r="G84" s="62" t="s">
        <v>125</v>
      </c>
      <c r="K84" s="8" t="str">
        <f t="shared" si="10"/>
        <v>Espanha</v>
      </c>
      <c r="L84" s="9">
        <f t="shared" si="11"/>
        <v>4</v>
      </c>
      <c r="M84" s="9">
        <f t="shared" si="12"/>
        <v>0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</row>
    <row r="85" spans="1:15" x14ac:dyDescent="0.3">
      <c r="A85" s="60">
        <v>46205</v>
      </c>
      <c r="B85" s="61">
        <v>0.83333333333333337</v>
      </c>
      <c r="C85" s="62" t="s">
        <v>5</v>
      </c>
      <c r="D85" s="63">
        <v>1</v>
      </c>
      <c r="E85" s="63" t="s">
        <v>1</v>
      </c>
      <c r="F85" s="63">
        <v>1</v>
      </c>
      <c r="G85" s="62" t="s">
        <v>10</v>
      </c>
      <c r="K85" s="8" t="str">
        <f t="shared" si="10"/>
        <v>EMPATE</v>
      </c>
      <c r="L85" s="9">
        <f t="shared" si="11"/>
        <v>1</v>
      </c>
      <c r="M85" s="9">
        <f t="shared" si="12"/>
        <v>1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</row>
    <row r="86" spans="1:15" x14ac:dyDescent="0.3">
      <c r="A86" s="60">
        <v>46206</v>
      </c>
      <c r="B86" s="61">
        <v>0</v>
      </c>
      <c r="C86" s="62" t="s">
        <v>72</v>
      </c>
      <c r="D86" s="63">
        <v>4</v>
      </c>
      <c r="E86" s="63" t="s">
        <v>1</v>
      </c>
      <c r="F86" s="63">
        <v>0</v>
      </c>
      <c r="G86" s="62" t="s">
        <v>124</v>
      </c>
      <c r="K86" s="8" t="str">
        <f t="shared" si="10"/>
        <v>Suíça</v>
      </c>
      <c r="L86" s="9">
        <f t="shared" si="11"/>
        <v>4</v>
      </c>
      <c r="M86" s="9">
        <f t="shared" si="12"/>
        <v>0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</row>
    <row r="87" spans="1:15" x14ac:dyDescent="0.3">
      <c r="A87" s="60">
        <v>46206</v>
      </c>
      <c r="B87" s="61">
        <v>0.625</v>
      </c>
      <c r="C87" s="62" t="s">
        <v>8</v>
      </c>
      <c r="D87" s="63">
        <v>0</v>
      </c>
      <c r="E87" s="63" t="s">
        <v>1</v>
      </c>
      <c r="F87" s="63">
        <v>0</v>
      </c>
      <c r="G87" s="62" t="s">
        <v>119</v>
      </c>
      <c r="K87" s="8" t="str">
        <f t="shared" si="10"/>
        <v>EMPATE</v>
      </c>
      <c r="L87" s="9">
        <f t="shared" si="11"/>
        <v>0</v>
      </c>
      <c r="M87" s="9">
        <f t="shared" si="12"/>
        <v>0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</row>
    <row r="88" spans="1:15" x14ac:dyDescent="0.3">
      <c r="A88" s="60">
        <v>46206</v>
      </c>
      <c r="B88" s="61">
        <v>0.79166666666666663</v>
      </c>
      <c r="C88" s="62" t="s">
        <v>9</v>
      </c>
      <c r="D88" s="63">
        <v>3</v>
      </c>
      <c r="E88" s="63" t="s">
        <v>1</v>
      </c>
      <c r="F88" s="63">
        <v>1</v>
      </c>
      <c r="G88" s="62" t="s">
        <v>121</v>
      </c>
      <c r="K88" s="8" t="str">
        <f t="shared" si="10"/>
        <v>Argentina</v>
      </c>
      <c r="L88" s="9">
        <f t="shared" si="11"/>
        <v>3</v>
      </c>
      <c r="M88" s="9">
        <f t="shared" si="12"/>
        <v>1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</row>
    <row r="89" spans="1:15" x14ac:dyDescent="0.3">
      <c r="A89" s="60">
        <v>46206</v>
      </c>
      <c r="B89" s="61">
        <v>0.9375</v>
      </c>
      <c r="C89" s="62" t="s">
        <v>129</v>
      </c>
      <c r="D89" s="63">
        <v>3</v>
      </c>
      <c r="E89" s="63" t="s">
        <v>1</v>
      </c>
      <c r="F89" s="63">
        <v>1</v>
      </c>
      <c r="G89" s="62" t="s">
        <v>106</v>
      </c>
      <c r="K89" s="8" t="str">
        <f t="shared" si="10"/>
        <v>Colômbia</v>
      </c>
      <c r="L89" s="9">
        <f t="shared" si="11"/>
        <v>3</v>
      </c>
      <c r="M89" s="9">
        <f t="shared" si="12"/>
        <v>1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</row>
    <row r="90" spans="1:15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15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15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15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15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15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15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0FDC-B4D2-48AB-89DC-338BEA597D86}">
  <dimension ref="A1:Z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100</v>
      </c>
      <c r="I1" s="135"/>
      <c r="J1" s="142"/>
      <c r="K1" s="3" t="s">
        <v>32</v>
      </c>
      <c r="L1" s="3" t="s">
        <v>30</v>
      </c>
      <c r="M1" s="3" t="s">
        <v>31</v>
      </c>
      <c r="O1" s="4" t="s">
        <v>33</v>
      </c>
    </row>
    <row r="2" spans="1:15" ht="15.75" customHeight="1" x14ac:dyDescent="0.3">
      <c r="A2" s="53">
        <v>46184</v>
      </c>
      <c r="B2" s="54">
        <v>0.66666666666666663</v>
      </c>
      <c r="C2" s="55" t="s">
        <v>13</v>
      </c>
      <c r="D2" s="46">
        <v>3</v>
      </c>
      <c r="E2" s="46" t="s">
        <v>1</v>
      </c>
      <c r="F2" s="46">
        <v>2</v>
      </c>
      <c r="G2" s="55" t="s">
        <v>88</v>
      </c>
      <c r="H2" s="141"/>
      <c r="I2" s="135"/>
      <c r="J2" s="142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3</v>
      </c>
      <c r="M2" s="9">
        <f t="shared" ref="M2:M3" si="2">IF(D2="","",IF(D2&lt;F2,D2,IF(F2&lt;D2,F2,D2)))</f>
        <v>2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3</v>
      </c>
    </row>
    <row r="3" spans="1:15" ht="15.75" customHeight="1" x14ac:dyDescent="0.3">
      <c r="A3" s="53">
        <v>46184</v>
      </c>
      <c r="B3" s="54">
        <v>0.95833333333333337</v>
      </c>
      <c r="C3" s="55" t="s">
        <v>15</v>
      </c>
      <c r="D3" s="46">
        <v>2</v>
      </c>
      <c r="E3" s="46" t="s">
        <v>1</v>
      </c>
      <c r="F3" s="46">
        <v>1</v>
      </c>
      <c r="G3" s="55" t="s">
        <v>111</v>
      </c>
      <c r="H3" s="141"/>
      <c r="I3" s="135"/>
      <c r="J3" s="142"/>
      <c r="K3" s="8" t="str">
        <f t="shared" si="0"/>
        <v>Coréia do Sul</v>
      </c>
      <c r="L3" s="9">
        <f t="shared" si="1"/>
        <v>2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9</v>
      </c>
    </row>
    <row r="4" spans="1:15" ht="15.75" customHeight="1" x14ac:dyDescent="0.3">
      <c r="A4" s="53">
        <v>46185</v>
      </c>
      <c r="B4" s="54">
        <v>0.66666666666666663</v>
      </c>
      <c r="C4" s="55" t="s">
        <v>105</v>
      </c>
      <c r="D4" s="46">
        <v>2</v>
      </c>
      <c r="E4" s="46" t="s">
        <v>1</v>
      </c>
      <c r="F4" s="46">
        <v>0</v>
      </c>
      <c r="G4" s="55" t="s">
        <v>112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53">
        <v>46185</v>
      </c>
      <c r="B5" s="54">
        <v>0.91666666666666663</v>
      </c>
      <c r="C5" s="55" t="s">
        <v>104</v>
      </c>
      <c r="D5" s="46">
        <v>2</v>
      </c>
      <c r="E5" s="46" t="s">
        <v>1</v>
      </c>
      <c r="F5" s="46">
        <v>1</v>
      </c>
      <c r="G5" s="55" t="s">
        <v>115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3">
      <c r="A6" s="53">
        <v>46186</v>
      </c>
      <c r="B6" s="54">
        <v>0.66666666666666663</v>
      </c>
      <c r="C6" s="55" t="s">
        <v>97</v>
      </c>
      <c r="D6" s="46">
        <v>2</v>
      </c>
      <c r="E6" s="46" t="s">
        <v>1</v>
      </c>
      <c r="F6" s="46">
        <v>2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3"/>
        <v>EMPATE</v>
      </c>
      <c r="L6" s="9">
        <f t="shared" si="4"/>
        <v>2</v>
      </c>
      <c r="M6" s="9">
        <f t="shared" si="5"/>
        <v>2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6</v>
      </c>
    </row>
    <row r="7" spans="1:15" ht="15.75" customHeight="1" x14ac:dyDescent="0.3">
      <c r="A7" s="53">
        <v>46186</v>
      </c>
      <c r="B7" s="54">
        <v>0.79166666666666663</v>
      </c>
      <c r="C7" s="55" t="s">
        <v>11</v>
      </c>
      <c r="D7" s="46">
        <v>2</v>
      </c>
      <c r="E7" s="46" t="s">
        <v>1</v>
      </c>
      <c r="F7" s="46">
        <v>1</v>
      </c>
      <c r="G7" s="55" t="s">
        <v>4</v>
      </c>
      <c r="H7" s="15">
        <v>9</v>
      </c>
      <c r="I7" s="15">
        <f>COUNTIF($O$2:$O$105,9)</f>
        <v>9</v>
      </c>
      <c r="J7" s="15">
        <f>H7*I7</f>
        <v>81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53">
        <v>46186</v>
      </c>
      <c r="B8" s="54">
        <v>0.91666666666666663</v>
      </c>
      <c r="C8" s="55" t="s">
        <v>113</v>
      </c>
      <c r="D8" s="46">
        <v>0</v>
      </c>
      <c r="E8" s="46" t="s">
        <v>1</v>
      </c>
      <c r="F8" s="46">
        <v>1</v>
      </c>
      <c r="G8" s="55" t="s">
        <v>114</v>
      </c>
      <c r="H8" s="15">
        <v>6</v>
      </c>
      <c r="I8" s="15">
        <f>COUNTIF($O$2:$O$105,6)</f>
        <v>9</v>
      </c>
      <c r="J8" s="15">
        <f t="shared" ref="J8:J11" si="6">H8*I8</f>
        <v>54</v>
      </c>
      <c r="K8" s="8" t="str">
        <f t="shared" si="3"/>
        <v>Escócia</v>
      </c>
      <c r="L8" s="9">
        <f t="shared" si="4"/>
        <v>1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9</v>
      </c>
    </row>
    <row r="9" spans="1:15" ht="15.75" customHeight="1" x14ac:dyDescent="0.3">
      <c r="A9" s="53">
        <v>46187</v>
      </c>
      <c r="B9" s="54">
        <v>4.1666666666666664E-2</v>
      </c>
      <c r="C9" s="55" t="s">
        <v>8</v>
      </c>
      <c r="D9" s="46">
        <v>2</v>
      </c>
      <c r="E9" s="46" t="s">
        <v>1</v>
      </c>
      <c r="F9" s="46">
        <v>2</v>
      </c>
      <c r="G9" s="55" t="s">
        <v>116</v>
      </c>
      <c r="H9" s="15">
        <v>4</v>
      </c>
      <c r="I9" s="15">
        <f>COUNTIF($O$2:$O$105,4)</f>
        <v>11</v>
      </c>
      <c r="J9" s="15">
        <f t="shared" si="6"/>
        <v>44</v>
      </c>
      <c r="K9" s="8" t="str">
        <f t="shared" si="3"/>
        <v>EMPATE</v>
      </c>
      <c r="L9" s="9">
        <f t="shared" si="4"/>
        <v>2</v>
      </c>
      <c r="M9" s="9">
        <f t="shared" si="5"/>
        <v>2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53">
        <v>46187</v>
      </c>
      <c r="B10" s="54">
        <v>0.58333333333333337</v>
      </c>
      <c r="C10" s="55" t="s">
        <v>12</v>
      </c>
      <c r="D10" s="46">
        <v>3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19</v>
      </c>
      <c r="J10" s="15">
        <f t="shared" si="6"/>
        <v>57</v>
      </c>
      <c r="K10" s="8" t="str">
        <f t="shared" si="3"/>
        <v>Alemanha</v>
      </c>
      <c r="L10" s="9">
        <f t="shared" si="4"/>
        <v>3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53">
        <v>46187</v>
      </c>
      <c r="B11" s="54">
        <v>0.70833333333333337</v>
      </c>
      <c r="C11" s="55" t="s">
        <v>78</v>
      </c>
      <c r="D11" s="46">
        <v>2</v>
      </c>
      <c r="E11" s="46" t="s">
        <v>1</v>
      </c>
      <c r="F11" s="46">
        <v>2</v>
      </c>
      <c r="G11" s="55" t="s">
        <v>19</v>
      </c>
      <c r="H11" s="15">
        <v>0</v>
      </c>
      <c r="I11" s="15">
        <f>COUNTIF($O$2:$O$105,0)</f>
        <v>24</v>
      </c>
      <c r="J11" s="15">
        <f t="shared" si="6"/>
        <v>0</v>
      </c>
      <c r="K11" s="8" t="str">
        <f t="shared" si="3"/>
        <v>EMPATE</v>
      </c>
      <c r="L11" s="9">
        <f t="shared" si="4"/>
        <v>2</v>
      </c>
      <c r="M11" s="9">
        <f t="shared" si="5"/>
        <v>2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9</v>
      </c>
    </row>
    <row r="12" spans="1:15" ht="18" x14ac:dyDescent="0.35">
      <c r="A12" s="53">
        <v>46187</v>
      </c>
      <c r="B12" s="54">
        <v>0.83333333333333337</v>
      </c>
      <c r="C12" s="55" t="s">
        <v>118</v>
      </c>
      <c r="D12" s="46">
        <v>1</v>
      </c>
      <c r="E12" s="46" t="s">
        <v>1</v>
      </c>
      <c r="F12" s="46">
        <v>2</v>
      </c>
      <c r="G12" s="55" t="s">
        <v>102</v>
      </c>
      <c r="H12" s="15"/>
      <c r="I12" s="16" t="s">
        <v>46</v>
      </c>
      <c r="J12" s="17">
        <f>SUM(J7:J11)</f>
        <v>236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53">
        <v>46187</v>
      </c>
      <c r="B13" s="54">
        <v>0.95833333333333337</v>
      </c>
      <c r="C13" s="55" t="s">
        <v>14</v>
      </c>
      <c r="D13" s="46">
        <v>1</v>
      </c>
      <c r="E13" s="46" t="s">
        <v>1</v>
      </c>
      <c r="F13" s="46">
        <v>1</v>
      </c>
      <c r="G13" s="55" t="s">
        <v>17</v>
      </c>
      <c r="K13" s="8" t="str">
        <f t="shared" si="3"/>
        <v>EMPATE</v>
      </c>
      <c r="L13" s="9">
        <f t="shared" si="4"/>
        <v>1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0</v>
      </c>
    </row>
    <row r="14" spans="1:15" x14ac:dyDescent="0.3">
      <c r="A14" s="53">
        <v>46188</v>
      </c>
      <c r="B14" s="54">
        <v>0.54166666666666663</v>
      </c>
      <c r="C14" s="55" t="s">
        <v>6</v>
      </c>
      <c r="D14" s="46">
        <v>2</v>
      </c>
      <c r="E14" s="46" t="s">
        <v>1</v>
      </c>
      <c r="F14" s="46">
        <v>0</v>
      </c>
      <c r="G14" s="55" t="s">
        <v>121</v>
      </c>
      <c r="K14" s="8" t="str">
        <f t="shared" si="3"/>
        <v>Espanha</v>
      </c>
      <c r="L14" s="9">
        <f t="shared" si="4"/>
        <v>2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53">
        <v>46188</v>
      </c>
      <c r="B15" s="54">
        <v>0.66666666666666663</v>
      </c>
      <c r="C15" s="55" t="s">
        <v>16</v>
      </c>
      <c r="D15" s="46">
        <v>2</v>
      </c>
      <c r="E15" s="46" t="s">
        <v>1</v>
      </c>
      <c r="F15" s="46">
        <v>1</v>
      </c>
      <c r="G15" s="55" t="s">
        <v>119</v>
      </c>
      <c r="K15" s="8" t="str">
        <f t="shared" si="3"/>
        <v>Bélgica</v>
      </c>
      <c r="L15" s="9">
        <f t="shared" si="4"/>
        <v>2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53">
        <v>46188</v>
      </c>
      <c r="B16" s="54">
        <v>0.79166666666666663</v>
      </c>
      <c r="C16" s="55" t="s">
        <v>2</v>
      </c>
      <c r="D16" s="46">
        <v>0</v>
      </c>
      <c r="E16" s="46" t="s">
        <v>1</v>
      </c>
      <c r="F16" s="46">
        <v>2</v>
      </c>
      <c r="G16" s="55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53">
        <v>46188</v>
      </c>
      <c r="B17" s="54">
        <v>0.91666666666666663</v>
      </c>
      <c r="C17" s="55" t="s">
        <v>103</v>
      </c>
      <c r="D17" s="46">
        <v>0</v>
      </c>
      <c r="E17" s="46" t="s">
        <v>1</v>
      </c>
      <c r="F17" s="46">
        <v>2</v>
      </c>
      <c r="G17" s="55" t="s">
        <v>120</v>
      </c>
      <c r="K17" s="8" t="str">
        <f t="shared" si="3"/>
        <v>Nova Zelândia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3">
      <c r="A18" s="53">
        <v>46189</v>
      </c>
      <c r="B18" s="54">
        <v>0.66666666666666663</v>
      </c>
      <c r="C18" s="55" t="s">
        <v>7</v>
      </c>
      <c r="D18" s="46">
        <v>3</v>
      </c>
      <c r="E18" s="46" t="s">
        <v>1</v>
      </c>
      <c r="F18" s="46">
        <v>0</v>
      </c>
      <c r="G18" s="55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0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6</v>
      </c>
    </row>
    <row r="19" spans="1:21" x14ac:dyDescent="0.3">
      <c r="A19" s="53">
        <v>46189</v>
      </c>
      <c r="B19" s="54">
        <v>0.79166666666666663</v>
      </c>
      <c r="C19" s="55" t="s">
        <v>122</v>
      </c>
      <c r="D19" s="46">
        <v>0</v>
      </c>
      <c r="E19" s="46" t="s">
        <v>1</v>
      </c>
      <c r="F19" s="46">
        <v>1</v>
      </c>
      <c r="G19" s="55" t="s">
        <v>123</v>
      </c>
      <c r="K19" s="8" t="str">
        <f t="shared" si="3"/>
        <v>Noruega</v>
      </c>
      <c r="L19" s="9">
        <f t="shared" si="4"/>
        <v>1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3">
      <c r="A20" s="53">
        <v>46189</v>
      </c>
      <c r="B20" s="54">
        <v>0.91666666666666663</v>
      </c>
      <c r="C20" s="55" t="s">
        <v>9</v>
      </c>
      <c r="D20" s="46">
        <v>2</v>
      </c>
      <c r="E20" s="46" t="s">
        <v>1</v>
      </c>
      <c r="F20" s="46">
        <v>0</v>
      </c>
      <c r="G20" s="55" t="s">
        <v>124</v>
      </c>
      <c r="K20" s="8" t="str">
        <f t="shared" si="3"/>
        <v>Argentina</v>
      </c>
      <c r="L20" s="9">
        <f t="shared" si="4"/>
        <v>2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4</v>
      </c>
    </row>
    <row r="21" spans="1:21" x14ac:dyDescent="0.3">
      <c r="A21" s="53">
        <v>46190</v>
      </c>
      <c r="B21" s="54">
        <v>4.1666666666666664E-2</v>
      </c>
      <c r="C21" s="55" t="s">
        <v>125</v>
      </c>
      <c r="D21" s="46">
        <v>1</v>
      </c>
      <c r="E21" s="46" t="s">
        <v>1</v>
      </c>
      <c r="F21" s="46">
        <v>0</v>
      </c>
      <c r="G21" s="55" t="s">
        <v>126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3">
      <c r="A22" s="53">
        <v>46190</v>
      </c>
      <c r="B22" s="54">
        <v>0.58333333333333337</v>
      </c>
      <c r="C22" s="55" t="s">
        <v>5</v>
      </c>
      <c r="D22" s="46">
        <v>2</v>
      </c>
      <c r="E22" s="46" t="s">
        <v>1</v>
      </c>
      <c r="F22" s="46">
        <v>0</v>
      </c>
      <c r="G22" s="55" t="s">
        <v>127</v>
      </c>
      <c r="K22" s="8" t="str">
        <f t="shared" si="3"/>
        <v>Portugal</v>
      </c>
      <c r="L22" s="9">
        <f t="shared" si="4"/>
        <v>2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53">
        <v>46190</v>
      </c>
      <c r="B23" s="54">
        <v>0.70833333333333337</v>
      </c>
      <c r="C23" s="55" t="s">
        <v>18</v>
      </c>
      <c r="D23" s="46">
        <v>3</v>
      </c>
      <c r="E23" s="46" t="s">
        <v>1</v>
      </c>
      <c r="F23" s="46">
        <v>2</v>
      </c>
      <c r="G23" s="55" t="s">
        <v>10</v>
      </c>
      <c r="K23" s="8" t="str">
        <f t="shared" si="3"/>
        <v>Inglaterra</v>
      </c>
      <c r="L23" s="9">
        <f t="shared" si="4"/>
        <v>3</v>
      </c>
      <c r="M23" s="9">
        <f t="shared" si="5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4</v>
      </c>
    </row>
    <row r="24" spans="1:21" x14ac:dyDescent="0.3">
      <c r="A24" s="53">
        <v>46190</v>
      </c>
      <c r="B24" s="54">
        <v>0.83333333333333337</v>
      </c>
      <c r="C24" s="55" t="s">
        <v>106</v>
      </c>
      <c r="D24" s="46">
        <v>1</v>
      </c>
      <c r="E24" s="46" t="s">
        <v>1</v>
      </c>
      <c r="F24" s="46">
        <v>2</v>
      </c>
      <c r="G24" s="55" t="s">
        <v>130</v>
      </c>
      <c r="K24" s="8" t="str">
        <f t="shared" si="3"/>
        <v>Panamá</v>
      </c>
      <c r="L24" s="9">
        <f t="shared" si="4"/>
        <v>2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0</v>
      </c>
    </row>
    <row r="25" spans="1:21" x14ac:dyDescent="0.3">
      <c r="A25" s="53">
        <v>46190</v>
      </c>
      <c r="B25" s="54">
        <v>0.95833333333333337</v>
      </c>
      <c r="C25" s="55" t="s">
        <v>128</v>
      </c>
      <c r="D25" s="46">
        <v>0</v>
      </c>
      <c r="E25" s="46" t="s">
        <v>1</v>
      </c>
      <c r="F25" s="46">
        <v>2</v>
      </c>
      <c r="G25" s="55" t="s">
        <v>129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</row>
    <row r="26" spans="1:21" x14ac:dyDescent="0.3">
      <c r="A26" s="100">
        <v>46191</v>
      </c>
      <c r="B26" s="101">
        <v>0.54166666666666663</v>
      </c>
      <c r="C26" s="102" t="s">
        <v>111</v>
      </c>
      <c r="D26" s="103">
        <v>2</v>
      </c>
      <c r="E26" s="103" t="s">
        <v>1</v>
      </c>
      <c r="F26" s="103">
        <v>0</v>
      </c>
      <c r="G26" s="102" t="s">
        <v>88</v>
      </c>
      <c r="K26" s="8" t="str">
        <f t="shared" si="3"/>
        <v>República Tcheca</v>
      </c>
      <c r="L26" s="9">
        <f t="shared" si="4"/>
        <v>2</v>
      </c>
      <c r="M26" s="9">
        <f t="shared" si="5"/>
        <v>0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86"/>
      <c r="R26" s="48"/>
      <c r="S26" s="48"/>
      <c r="T26" s="48"/>
      <c r="U26" s="86"/>
    </row>
    <row r="27" spans="1:21" x14ac:dyDescent="0.3">
      <c r="A27" s="100">
        <v>46191</v>
      </c>
      <c r="B27" s="101">
        <v>0.66666666666666663</v>
      </c>
      <c r="C27" s="102" t="s">
        <v>72</v>
      </c>
      <c r="D27" s="103">
        <v>2</v>
      </c>
      <c r="E27" s="103" t="s">
        <v>1</v>
      </c>
      <c r="F27" s="103">
        <v>0</v>
      </c>
      <c r="G27" s="102" t="s">
        <v>112</v>
      </c>
      <c r="K27" s="8" t="str">
        <f t="shared" si="3"/>
        <v>Suíça</v>
      </c>
      <c r="L27" s="9">
        <f t="shared" si="4"/>
        <v>2</v>
      </c>
      <c r="M27" s="9">
        <f t="shared" si="5"/>
        <v>0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3</v>
      </c>
      <c r="Q27" s="86"/>
      <c r="R27" s="48"/>
      <c r="S27" s="48"/>
      <c r="T27" s="48"/>
      <c r="U27" s="86"/>
    </row>
    <row r="28" spans="1:21" x14ac:dyDescent="0.3">
      <c r="A28" s="100">
        <v>46191</v>
      </c>
      <c r="B28" s="101">
        <v>0.79166666666666663</v>
      </c>
      <c r="C28" s="102" t="s">
        <v>105</v>
      </c>
      <c r="D28" s="103">
        <v>2</v>
      </c>
      <c r="E28" s="103" t="s">
        <v>1</v>
      </c>
      <c r="F28" s="103">
        <v>1</v>
      </c>
      <c r="G28" s="102" t="s">
        <v>97</v>
      </c>
      <c r="K28" s="8" t="str">
        <f t="shared" si="3"/>
        <v>Canadá</v>
      </c>
      <c r="L28" s="9">
        <f t="shared" si="4"/>
        <v>2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Q28" s="86"/>
      <c r="R28" s="48"/>
      <c r="S28" s="48"/>
      <c r="T28" s="48"/>
      <c r="U28" s="86"/>
    </row>
    <row r="29" spans="1:21" x14ac:dyDescent="0.3">
      <c r="A29" s="100">
        <v>46191</v>
      </c>
      <c r="B29" s="101">
        <v>0.91666666666666663</v>
      </c>
      <c r="C29" s="102" t="s">
        <v>13</v>
      </c>
      <c r="D29" s="103">
        <v>2</v>
      </c>
      <c r="E29" s="103" t="s">
        <v>1</v>
      </c>
      <c r="F29" s="103">
        <v>1</v>
      </c>
      <c r="G29" s="102" t="s">
        <v>15</v>
      </c>
      <c r="K29" s="8" t="str">
        <f t="shared" si="3"/>
        <v>México</v>
      </c>
      <c r="L29" s="9">
        <f t="shared" si="4"/>
        <v>2</v>
      </c>
      <c r="M29" s="9">
        <f t="shared" si="5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3</v>
      </c>
      <c r="Q29" s="86"/>
      <c r="R29" s="48"/>
      <c r="S29" s="48"/>
      <c r="T29" s="48"/>
      <c r="U29" s="86"/>
    </row>
    <row r="30" spans="1:21" x14ac:dyDescent="0.3">
      <c r="A30" s="100">
        <v>46192</v>
      </c>
      <c r="B30" s="101">
        <v>0.66666666666666663</v>
      </c>
      <c r="C30" s="102" t="s">
        <v>104</v>
      </c>
      <c r="D30" s="103">
        <v>2</v>
      </c>
      <c r="E30" s="103" t="s">
        <v>1</v>
      </c>
      <c r="F30" s="103">
        <v>1</v>
      </c>
      <c r="G30" s="102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6</v>
      </c>
      <c r="Q30" s="86"/>
      <c r="R30" s="48"/>
      <c r="S30" s="48"/>
      <c r="T30" s="48"/>
      <c r="U30" s="86"/>
    </row>
    <row r="31" spans="1:21" x14ac:dyDescent="0.3">
      <c r="A31" s="100">
        <v>46192</v>
      </c>
      <c r="B31" s="101">
        <v>0.79166666666666663</v>
      </c>
      <c r="C31" s="102" t="s">
        <v>114</v>
      </c>
      <c r="D31" s="103">
        <v>1</v>
      </c>
      <c r="E31" s="103" t="s">
        <v>1</v>
      </c>
      <c r="F31" s="103">
        <v>2</v>
      </c>
      <c r="G31" s="102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Q31" s="86"/>
      <c r="R31" s="48"/>
      <c r="S31" s="48"/>
      <c r="T31" s="48"/>
      <c r="U31" s="86"/>
    </row>
    <row r="32" spans="1:21" x14ac:dyDescent="0.3">
      <c r="A32" s="100">
        <v>46192</v>
      </c>
      <c r="B32" s="101">
        <v>0.89583333333333337</v>
      </c>
      <c r="C32" s="102" t="s">
        <v>11</v>
      </c>
      <c r="D32" s="103">
        <v>3</v>
      </c>
      <c r="E32" s="103" t="s">
        <v>1</v>
      </c>
      <c r="F32" s="103">
        <v>0</v>
      </c>
      <c r="G32" s="102" t="s">
        <v>113</v>
      </c>
      <c r="K32" s="8" t="str">
        <f t="shared" si="3"/>
        <v>Brasil</v>
      </c>
      <c r="L32" s="9">
        <f t="shared" si="4"/>
        <v>3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9</v>
      </c>
      <c r="Q32" s="86"/>
      <c r="R32" s="48"/>
      <c r="S32" s="48"/>
      <c r="T32" s="48"/>
      <c r="U32" s="86"/>
    </row>
    <row r="33" spans="1:21" x14ac:dyDescent="0.3">
      <c r="A33" s="100">
        <v>46193</v>
      </c>
      <c r="B33" s="101">
        <v>4.1666666666666664E-2</v>
      </c>
      <c r="C33" s="102" t="s">
        <v>116</v>
      </c>
      <c r="D33" s="103">
        <v>1</v>
      </c>
      <c r="E33" s="103" t="s">
        <v>1</v>
      </c>
      <c r="F33" s="103">
        <v>1</v>
      </c>
      <c r="G33" s="102" t="s">
        <v>115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86"/>
      <c r="R33" s="48"/>
      <c r="S33" s="48"/>
      <c r="T33" s="48"/>
      <c r="U33" s="86"/>
    </row>
    <row r="34" spans="1:21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1</v>
      </c>
      <c r="G34" s="102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Q34" s="86"/>
      <c r="R34" s="48"/>
      <c r="S34" s="48"/>
      <c r="T34" s="48"/>
      <c r="U34" s="86"/>
    </row>
    <row r="35" spans="1:21" x14ac:dyDescent="0.3">
      <c r="A35" s="100">
        <v>46193</v>
      </c>
      <c r="B35" s="101">
        <v>0.70833333333333337</v>
      </c>
      <c r="C35" s="102" t="s">
        <v>12</v>
      </c>
      <c r="D35" s="103">
        <v>3</v>
      </c>
      <c r="E35" s="103" t="s">
        <v>1</v>
      </c>
      <c r="F35" s="103">
        <v>0</v>
      </c>
      <c r="G35" s="102" t="s">
        <v>118</v>
      </c>
      <c r="K35" s="8" t="str">
        <f t="shared" si="3"/>
        <v>Alemanha</v>
      </c>
      <c r="L35" s="9">
        <f t="shared" si="4"/>
        <v>3</v>
      </c>
      <c r="M35" s="9">
        <f t="shared" si="5"/>
        <v>0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3</v>
      </c>
      <c r="Q35" s="86"/>
      <c r="R35" s="48"/>
      <c r="S35" s="48"/>
      <c r="T35" s="48"/>
      <c r="U35" s="86"/>
    </row>
    <row r="36" spans="1:21" x14ac:dyDescent="0.3">
      <c r="A36" s="100">
        <v>46193</v>
      </c>
      <c r="B36" s="101">
        <v>0.875</v>
      </c>
      <c r="C36" s="102" t="s">
        <v>102</v>
      </c>
      <c r="D36" s="103">
        <v>2</v>
      </c>
      <c r="E36" s="103" t="s">
        <v>1</v>
      </c>
      <c r="F36" s="103">
        <v>0</v>
      </c>
      <c r="G36" s="102" t="s">
        <v>117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86"/>
      <c r="R36" s="48"/>
      <c r="S36" s="48"/>
      <c r="T36" s="48"/>
      <c r="U36" s="86"/>
    </row>
    <row r="37" spans="1:21" x14ac:dyDescent="0.3">
      <c r="A37" s="100">
        <v>46194</v>
      </c>
      <c r="B37" s="101">
        <v>4.1666666666666664E-2</v>
      </c>
      <c r="C37" s="102" t="s">
        <v>17</v>
      </c>
      <c r="D37" s="103">
        <v>1</v>
      </c>
      <c r="E37" s="103" t="s">
        <v>1</v>
      </c>
      <c r="F37" s="103">
        <v>2</v>
      </c>
      <c r="G37" s="102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86"/>
      <c r="R37" s="48"/>
      <c r="S37" s="48"/>
      <c r="T37" s="48"/>
      <c r="U37" s="86"/>
    </row>
    <row r="38" spans="1:21" x14ac:dyDescent="0.3">
      <c r="A38" s="100">
        <v>46194</v>
      </c>
      <c r="B38" s="101">
        <v>0.54166666666666663</v>
      </c>
      <c r="C38" s="102" t="s">
        <v>6</v>
      </c>
      <c r="D38" s="103">
        <v>3</v>
      </c>
      <c r="E38" s="103" t="s">
        <v>1</v>
      </c>
      <c r="F38" s="103">
        <v>1</v>
      </c>
      <c r="G38" s="102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1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3</v>
      </c>
      <c r="Q38" s="86"/>
      <c r="R38" s="48"/>
      <c r="S38" s="48"/>
      <c r="T38" s="48"/>
      <c r="U38" s="86"/>
    </row>
    <row r="39" spans="1:21" x14ac:dyDescent="0.3">
      <c r="A39" s="100">
        <v>46194</v>
      </c>
      <c r="B39" s="101">
        <v>0.66666666666666663</v>
      </c>
      <c r="C39" s="102" t="s">
        <v>16</v>
      </c>
      <c r="D39" s="103">
        <v>2</v>
      </c>
      <c r="E39" s="103" t="s">
        <v>1</v>
      </c>
      <c r="F39" s="103">
        <v>0</v>
      </c>
      <c r="G39" s="102" t="s">
        <v>103</v>
      </c>
      <c r="K39" s="8" t="str">
        <f t="shared" si="3"/>
        <v>Bélgica</v>
      </c>
      <c r="L39" s="9">
        <f t="shared" si="4"/>
        <v>2</v>
      </c>
      <c r="M39" s="9">
        <f t="shared" si="5"/>
        <v>0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86"/>
      <c r="R39" s="48"/>
      <c r="S39" s="48"/>
      <c r="T39" s="48"/>
      <c r="U39" s="86"/>
    </row>
    <row r="40" spans="1:21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0</v>
      </c>
      <c r="G40" s="102" t="s">
        <v>121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86"/>
      <c r="R40" s="48"/>
      <c r="S40" s="48"/>
      <c r="T40" s="48"/>
      <c r="U40" s="86"/>
    </row>
    <row r="41" spans="1:21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2</v>
      </c>
      <c r="G41" s="102" t="s">
        <v>119</v>
      </c>
      <c r="K41" s="8" t="str">
        <f t="shared" si="3"/>
        <v>Egito</v>
      </c>
      <c r="L41" s="9">
        <f t="shared" si="4"/>
        <v>2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4</v>
      </c>
      <c r="Q41" s="86"/>
      <c r="R41" s="48"/>
      <c r="S41" s="48"/>
      <c r="T41" s="48"/>
      <c r="U41" s="86"/>
    </row>
    <row r="42" spans="1:21" x14ac:dyDescent="0.3">
      <c r="A42" s="100">
        <v>46195</v>
      </c>
      <c r="B42" s="101">
        <v>0.58333333333333337</v>
      </c>
      <c r="C42" s="102" t="s">
        <v>9</v>
      </c>
      <c r="D42" s="103">
        <v>3</v>
      </c>
      <c r="E42" s="103" t="s">
        <v>1</v>
      </c>
      <c r="F42" s="103">
        <v>0</v>
      </c>
      <c r="G42" s="102" t="s">
        <v>125</v>
      </c>
      <c r="K42" s="8" t="str">
        <f t="shared" si="3"/>
        <v>Argentina</v>
      </c>
      <c r="L42" s="9">
        <f t="shared" si="4"/>
        <v>3</v>
      </c>
      <c r="M42" s="9">
        <f t="shared" si="5"/>
        <v>0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4</v>
      </c>
      <c r="Q42" s="86"/>
      <c r="R42" s="48"/>
      <c r="S42" s="48"/>
      <c r="T42" s="48"/>
      <c r="U42" s="86"/>
    </row>
    <row r="43" spans="1:21" x14ac:dyDescent="0.3">
      <c r="A43" s="100">
        <v>46195</v>
      </c>
      <c r="B43" s="101">
        <v>0.75</v>
      </c>
      <c r="C43" s="102" t="s">
        <v>7</v>
      </c>
      <c r="D43" s="103">
        <v>3</v>
      </c>
      <c r="E43" s="103" t="s">
        <v>1</v>
      </c>
      <c r="F43" s="103">
        <v>1</v>
      </c>
      <c r="G43" s="102" t="s">
        <v>122</v>
      </c>
      <c r="K43" s="8" t="str">
        <f t="shared" si="3"/>
        <v>França</v>
      </c>
      <c r="L43" s="9">
        <f t="shared" si="4"/>
        <v>3</v>
      </c>
      <c r="M43" s="9">
        <f t="shared" si="5"/>
        <v>1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6</v>
      </c>
      <c r="Q43" s="86"/>
      <c r="R43" s="48"/>
      <c r="S43" s="48"/>
      <c r="T43" s="48"/>
      <c r="U43" s="86"/>
    </row>
    <row r="44" spans="1:21" x14ac:dyDescent="0.3">
      <c r="A44" s="100">
        <v>46195</v>
      </c>
      <c r="B44" s="101">
        <v>0.875</v>
      </c>
      <c r="C44" s="102" t="s">
        <v>123</v>
      </c>
      <c r="D44" s="103">
        <v>2</v>
      </c>
      <c r="E44" s="103" t="s">
        <v>1</v>
      </c>
      <c r="F44" s="103">
        <v>1</v>
      </c>
      <c r="G44" s="102" t="s">
        <v>20</v>
      </c>
      <c r="K44" s="8" t="str">
        <f t="shared" si="3"/>
        <v>Noruega</v>
      </c>
      <c r="L44" s="9">
        <f t="shared" si="4"/>
        <v>2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86"/>
      <c r="R44" s="48"/>
      <c r="S44" s="48"/>
      <c r="T44" s="48"/>
      <c r="U44" s="86"/>
    </row>
    <row r="45" spans="1:21" x14ac:dyDescent="0.3">
      <c r="A45" s="100">
        <v>46196</v>
      </c>
      <c r="B45" s="101">
        <v>0</v>
      </c>
      <c r="C45" s="102" t="s">
        <v>126</v>
      </c>
      <c r="D45" s="103">
        <v>0</v>
      </c>
      <c r="E45" s="103" t="s">
        <v>1</v>
      </c>
      <c r="F45" s="103">
        <v>2</v>
      </c>
      <c r="G45" s="102" t="s">
        <v>124</v>
      </c>
      <c r="K45" s="8" t="str">
        <f t="shared" si="3"/>
        <v>Argélia</v>
      </c>
      <c r="L45" s="9">
        <f t="shared" si="4"/>
        <v>2</v>
      </c>
      <c r="M45" s="9">
        <f t="shared" si="5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6</v>
      </c>
      <c r="Q45" s="86"/>
      <c r="R45" s="48"/>
      <c r="S45" s="48"/>
      <c r="T45" s="48"/>
      <c r="U45" s="86"/>
    </row>
    <row r="46" spans="1:21" ht="15" customHeight="1" x14ac:dyDescent="0.3">
      <c r="A46" s="100">
        <v>46196</v>
      </c>
      <c r="B46" s="101">
        <v>0.58333333333333337</v>
      </c>
      <c r="C46" s="102" t="s">
        <v>5</v>
      </c>
      <c r="D46" s="103">
        <v>3</v>
      </c>
      <c r="E46" s="103" t="s">
        <v>1</v>
      </c>
      <c r="F46" s="103">
        <v>0</v>
      </c>
      <c r="G46" s="102" t="s">
        <v>128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4</v>
      </c>
      <c r="Q46" s="86"/>
      <c r="R46" s="48"/>
      <c r="S46" s="48"/>
      <c r="T46" s="48"/>
      <c r="U46" s="86"/>
    </row>
    <row r="47" spans="1:21" x14ac:dyDescent="0.3">
      <c r="A47" s="100">
        <v>46196</v>
      </c>
      <c r="B47" s="101">
        <v>0.70833333333333337</v>
      </c>
      <c r="C47" s="102" t="s">
        <v>18</v>
      </c>
      <c r="D47" s="103">
        <v>2</v>
      </c>
      <c r="E47" s="103" t="s">
        <v>1</v>
      </c>
      <c r="F47" s="103">
        <v>1</v>
      </c>
      <c r="G47" s="102" t="s">
        <v>106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  <c r="Q47" s="86"/>
      <c r="R47" s="48"/>
      <c r="S47" s="48"/>
      <c r="T47" s="48"/>
      <c r="U47" s="86"/>
    </row>
    <row r="48" spans="1:21" x14ac:dyDescent="0.3">
      <c r="A48" s="100">
        <v>46196</v>
      </c>
      <c r="B48" s="101">
        <v>0.83333333333333337</v>
      </c>
      <c r="C48" s="102" t="s">
        <v>130</v>
      </c>
      <c r="D48" s="103">
        <v>1</v>
      </c>
      <c r="E48" s="103" t="s">
        <v>1</v>
      </c>
      <c r="F48" s="103">
        <v>2</v>
      </c>
      <c r="G48" s="102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1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3</v>
      </c>
      <c r="Q48" s="86"/>
      <c r="R48" s="48"/>
      <c r="S48" s="48"/>
      <c r="T48" s="48"/>
      <c r="U48" s="86"/>
    </row>
    <row r="49" spans="1:21" x14ac:dyDescent="0.3">
      <c r="A49" s="104">
        <v>46196</v>
      </c>
      <c r="B49" s="101">
        <v>0.95833333333333337</v>
      </c>
      <c r="C49" s="105" t="s">
        <v>129</v>
      </c>
      <c r="D49" s="106">
        <v>2</v>
      </c>
      <c r="E49" s="106" t="s">
        <v>1</v>
      </c>
      <c r="F49" s="106">
        <v>0</v>
      </c>
      <c r="G49" s="105" t="s">
        <v>127</v>
      </c>
      <c r="K49" s="8" t="str">
        <f t="shared" si="3"/>
        <v>Colômbia</v>
      </c>
      <c r="L49" s="9">
        <f t="shared" si="4"/>
        <v>2</v>
      </c>
      <c r="M49" s="9">
        <f t="shared" si="5"/>
        <v>0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4</v>
      </c>
      <c r="Q49" s="86"/>
      <c r="R49" s="48"/>
      <c r="S49" s="48"/>
      <c r="T49" s="48"/>
      <c r="U49" s="86"/>
    </row>
    <row r="50" spans="1:21" x14ac:dyDescent="0.3">
      <c r="A50" s="56">
        <v>46197</v>
      </c>
      <c r="B50" s="54">
        <v>0.66666666666666663</v>
      </c>
      <c r="C50" s="57" t="s">
        <v>72</v>
      </c>
      <c r="D50" s="58">
        <v>2</v>
      </c>
      <c r="E50" s="58" t="s">
        <v>1</v>
      </c>
      <c r="F50" s="58">
        <v>1</v>
      </c>
      <c r="G50" s="57" t="s">
        <v>105</v>
      </c>
      <c r="K50" s="8" t="str">
        <f t="shared" si="3"/>
        <v>Suíça</v>
      </c>
      <c r="L50" s="9">
        <f t="shared" si="4"/>
        <v>2</v>
      </c>
      <c r="M50" s="9">
        <f t="shared" si="5"/>
        <v>1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9</v>
      </c>
      <c r="Q50" s="86"/>
      <c r="R50" s="48"/>
      <c r="S50" s="48"/>
      <c r="T50" s="48"/>
      <c r="U50" s="86"/>
    </row>
    <row r="51" spans="1:21" x14ac:dyDescent="0.3">
      <c r="A51" s="56">
        <v>46197</v>
      </c>
      <c r="B51" s="54">
        <v>0.66666666666666663</v>
      </c>
      <c r="C51" s="57" t="s">
        <v>112</v>
      </c>
      <c r="D51" s="58">
        <v>2</v>
      </c>
      <c r="E51" s="58" t="s">
        <v>1</v>
      </c>
      <c r="F51" s="58">
        <v>0</v>
      </c>
      <c r="G51" s="57" t="s">
        <v>97</v>
      </c>
      <c r="K51" s="8" t="str">
        <f t="shared" si="3"/>
        <v>Bósnia</v>
      </c>
      <c r="L51" s="9">
        <f t="shared" si="4"/>
        <v>2</v>
      </c>
      <c r="M51" s="9">
        <f t="shared" si="5"/>
        <v>0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3</v>
      </c>
      <c r="Q51" s="86"/>
      <c r="R51" s="48"/>
      <c r="S51" s="48"/>
      <c r="T51" s="48"/>
      <c r="U51" s="86"/>
    </row>
    <row r="52" spans="1:21" x14ac:dyDescent="0.3">
      <c r="A52" s="56">
        <v>46197</v>
      </c>
      <c r="B52" s="54">
        <v>0.79166666666666663</v>
      </c>
      <c r="C52" s="59" t="s">
        <v>4</v>
      </c>
      <c r="D52" s="58">
        <v>3</v>
      </c>
      <c r="E52" s="58" t="s">
        <v>1</v>
      </c>
      <c r="F52" s="58">
        <v>0</v>
      </c>
      <c r="G52" s="59" t="s">
        <v>113</v>
      </c>
      <c r="K52" s="8" t="str">
        <f t="shared" si="3"/>
        <v>Marrocos</v>
      </c>
      <c r="L52" s="9">
        <f t="shared" si="4"/>
        <v>3</v>
      </c>
      <c r="M52" s="9">
        <f t="shared" si="5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</row>
    <row r="53" spans="1:21" x14ac:dyDescent="0.3">
      <c r="A53" s="56">
        <v>46197</v>
      </c>
      <c r="B53" s="54">
        <v>0.79166666666666663</v>
      </c>
      <c r="C53" s="59" t="s">
        <v>114</v>
      </c>
      <c r="D53" s="58">
        <v>0</v>
      </c>
      <c r="E53" s="58" t="s">
        <v>1</v>
      </c>
      <c r="F53" s="58">
        <v>2</v>
      </c>
      <c r="G53" s="59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0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4</v>
      </c>
      <c r="Q53" s="117"/>
      <c r="R53" s="48"/>
      <c r="S53" s="48"/>
      <c r="T53" s="48"/>
      <c r="U53" s="117"/>
    </row>
    <row r="54" spans="1:21" x14ac:dyDescent="0.3">
      <c r="A54" s="53">
        <v>46197</v>
      </c>
      <c r="B54" s="54">
        <v>0.91666666666666663</v>
      </c>
      <c r="C54" s="55" t="s">
        <v>88</v>
      </c>
      <c r="D54" s="46">
        <v>1</v>
      </c>
      <c r="E54" s="46" t="s">
        <v>1</v>
      </c>
      <c r="F54" s="46">
        <v>2</v>
      </c>
      <c r="G54" s="55" t="s">
        <v>15</v>
      </c>
      <c r="K54" s="8" t="str">
        <f t="shared" si="3"/>
        <v>Coréia do Sul</v>
      </c>
      <c r="L54" s="9">
        <f t="shared" si="4"/>
        <v>2</v>
      </c>
      <c r="M54" s="9">
        <f t="shared" si="5"/>
        <v>1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</row>
    <row r="55" spans="1:21" x14ac:dyDescent="0.3">
      <c r="A55" s="53">
        <v>46197</v>
      </c>
      <c r="B55" s="54">
        <v>0.91666666666666663</v>
      </c>
      <c r="C55" s="55" t="s">
        <v>111</v>
      </c>
      <c r="D55" s="46">
        <v>1</v>
      </c>
      <c r="E55" s="46" t="s">
        <v>1</v>
      </c>
      <c r="F55" s="46">
        <v>2</v>
      </c>
      <c r="G55" s="55" t="s">
        <v>13</v>
      </c>
      <c r="K55" s="8" t="str">
        <f t="shared" si="3"/>
        <v>México</v>
      </c>
      <c r="L55" s="9">
        <f t="shared" si="4"/>
        <v>2</v>
      </c>
      <c r="M55" s="9">
        <f t="shared" si="5"/>
        <v>1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3</v>
      </c>
      <c r="Q55" s="86"/>
      <c r="R55" s="48"/>
      <c r="S55" s="48"/>
      <c r="T55" s="48"/>
      <c r="U55" s="86"/>
    </row>
    <row r="56" spans="1:21" x14ac:dyDescent="0.3">
      <c r="A56" s="53">
        <v>46198</v>
      </c>
      <c r="B56" s="54">
        <v>0.70833333333333337</v>
      </c>
      <c r="C56" s="45" t="s">
        <v>102</v>
      </c>
      <c r="D56" s="46">
        <v>1</v>
      </c>
      <c r="E56" s="46" t="s">
        <v>1</v>
      </c>
      <c r="F56" s="46">
        <v>3</v>
      </c>
      <c r="G56" s="45" t="s">
        <v>12</v>
      </c>
      <c r="K56" s="8" t="str">
        <f t="shared" si="3"/>
        <v>Alemanha</v>
      </c>
      <c r="L56" s="9">
        <f t="shared" si="4"/>
        <v>3</v>
      </c>
      <c r="M56" s="9">
        <f t="shared" si="5"/>
        <v>1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</row>
    <row r="57" spans="1:21" x14ac:dyDescent="0.3">
      <c r="A57" s="53">
        <v>46198</v>
      </c>
      <c r="B57" s="54">
        <v>0.70833333333333337</v>
      </c>
      <c r="C57" s="45" t="s">
        <v>117</v>
      </c>
      <c r="D57" s="46">
        <v>0</v>
      </c>
      <c r="E57" s="46" t="s">
        <v>1</v>
      </c>
      <c r="F57" s="46">
        <v>2</v>
      </c>
      <c r="G57" s="45" t="s">
        <v>118</v>
      </c>
      <c r="K57" s="8" t="str">
        <f t="shared" si="3"/>
        <v>Costa do Marfim</v>
      </c>
      <c r="L57" s="9">
        <f t="shared" si="4"/>
        <v>2</v>
      </c>
      <c r="M57" s="9">
        <f t="shared" si="5"/>
        <v>0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9</v>
      </c>
      <c r="Q57" s="117"/>
      <c r="R57" s="48"/>
      <c r="S57" s="48"/>
      <c r="T57" s="48"/>
      <c r="U57" s="117"/>
    </row>
    <row r="58" spans="1:21" x14ac:dyDescent="0.3">
      <c r="A58" s="53">
        <v>46198</v>
      </c>
      <c r="B58" s="54">
        <v>0.83333333333333337</v>
      </c>
      <c r="C58" s="45" t="s">
        <v>17</v>
      </c>
      <c r="D58" s="46">
        <v>0</v>
      </c>
      <c r="E58" s="46" t="s">
        <v>1</v>
      </c>
      <c r="F58" s="46">
        <v>3</v>
      </c>
      <c r="G58" s="45" t="s">
        <v>78</v>
      </c>
      <c r="K58" s="8" t="str">
        <f t="shared" si="3"/>
        <v>Holanda</v>
      </c>
      <c r="L58" s="9">
        <f t="shared" si="4"/>
        <v>3</v>
      </c>
      <c r="M58" s="9">
        <f t="shared" si="5"/>
        <v>0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6</v>
      </c>
      <c r="Q58" s="117"/>
      <c r="R58" s="48"/>
      <c r="S58" s="48"/>
      <c r="T58" s="48"/>
      <c r="U58" s="117"/>
    </row>
    <row r="59" spans="1:21" x14ac:dyDescent="0.3">
      <c r="A59" s="53">
        <v>46198</v>
      </c>
      <c r="B59" s="54">
        <v>0.83333333333333337</v>
      </c>
      <c r="C59" s="45" t="s">
        <v>19</v>
      </c>
      <c r="D59" s="46">
        <v>1</v>
      </c>
      <c r="E59" s="46" t="s">
        <v>1</v>
      </c>
      <c r="F59" s="46">
        <v>1</v>
      </c>
      <c r="G59" s="45" t="s">
        <v>14</v>
      </c>
      <c r="K59" s="8" t="str">
        <f t="shared" si="3"/>
        <v>EMPATE</v>
      </c>
      <c r="L59" s="9">
        <f t="shared" si="4"/>
        <v>1</v>
      </c>
      <c r="M59" s="9">
        <f t="shared" si="5"/>
        <v>1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9</v>
      </c>
      <c r="Q59" s="117"/>
      <c r="R59" s="48"/>
      <c r="S59" s="48"/>
      <c r="T59" s="48"/>
      <c r="U59" s="117"/>
    </row>
    <row r="60" spans="1:21" x14ac:dyDescent="0.3">
      <c r="A60" s="53">
        <v>46198</v>
      </c>
      <c r="B60" s="54">
        <v>0.95833333333333337</v>
      </c>
      <c r="C60" s="45" t="s">
        <v>116</v>
      </c>
      <c r="D60" s="46">
        <v>1</v>
      </c>
      <c r="E60" s="46" t="s">
        <v>1</v>
      </c>
      <c r="F60" s="46">
        <v>2</v>
      </c>
      <c r="G60" s="45" t="s">
        <v>104</v>
      </c>
      <c r="K60" s="8" t="str">
        <f t="shared" si="3"/>
        <v>Estados Unidos</v>
      </c>
      <c r="L60" s="9">
        <f t="shared" si="4"/>
        <v>2</v>
      </c>
      <c r="M60" s="9">
        <f t="shared" si="5"/>
        <v>1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</row>
    <row r="61" spans="1:21" x14ac:dyDescent="0.3">
      <c r="A61" s="53">
        <v>46198</v>
      </c>
      <c r="B61" s="54">
        <v>0.95833333333333337</v>
      </c>
      <c r="C61" s="45" t="s">
        <v>115</v>
      </c>
      <c r="D61" s="46">
        <v>2</v>
      </c>
      <c r="E61" s="46" t="s">
        <v>1</v>
      </c>
      <c r="F61" s="46">
        <v>1</v>
      </c>
      <c r="G61" s="45" t="s">
        <v>8</v>
      </c>
      <c r="K61" s="8" t="str">
        <f t="shared" si="3"/>
        <v>Paraguai</v>
      </c>
      <c r="L61" s="9">
        <f t="shared" si="4"/>
        <v>2</v>
      </c>
      <c r="M61" s="9">
        <f t="shared" si="5"/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0</v>
      </c>
      <c r="Q61" s="117"/>
      <c r="R61" s="48"/>
      <c r="S61" s="48"/>
      <c r="T61" s="48"/>
      <c r="U61" s="117"/>
    </row>
    <row r="62" spans="1:21" x14ac:dyDescent="0.3">
      <c r="A62" s="53">
        <v>46199</v>
      </c>
      <c r="B62" s="54">
        <v>0.66666666666666663</v>
      </c>
      <c r="C62" s="45" t="s">
        <v>20</v>
      </c>
      <c r="D62" s="46">
        <v>2</v>
      </c>
      <c r="E62" s="46" t="s">
        <v>1</v>
      </c>
      <c r="F62" s="46">
        <v>0</v>
      </c>
      <c r="G62" s="45" t="s">
        <v>122</v>
      </c>
      <c r="K62" s="8" t="str">
        <f t="shared" si="3"/>
        <v>Senegal</v>
      </c>
      <c r="L62" s="9">
        <f t="shared" si="4"/>
        <v>2</v>
      </c>
      <c r="M62" s="9">
        <f t="shared" si="5"/>
        <v>0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4</v>
      </c>
      <c r="Q62" s="117"/>
      <c r="R62" s="48"/>
      <c r="S62" s="48"/>
      <c r="T62" s="48"/>
      <c r="U62" s="117"/>
    </row>
    <row r="63" spans="1:21" x14ac:dyDescent="0.3">
      <c r="A63" s="53">
        <v>46199</v>
      </c>
      <c r="B63" s="54">
        <v>0.66666666666666663</v>
      </c>
      <c r="C63" s="45" t="s">
        <v>123</v>
      </c>
      <c r="D63" s="46">
        <v>1</v>
      </c>
      <c r="E63" s="46" t="s">
        <v>1</v>
      </c>
      <c r="F63" s="46">
        <v>2</v>
      </c>
      <c r="G63" s="45" t="s">
        <v>7</v>
      </c>
      <c r="K63" s="8" t="str">
        <f t="shared" si="3"/>
        <v>França</v>
      </c>
      <c r="L63" s="9">
        <f t="shared" si="4"/>
        <v>2</v>
      </c>
      <c r="M63" s="9">
        <f t="shared" si="5"/>
        <v>1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4</v>
      </c>
      <c r="Q63" s="117"/>
      <c r="R63" s="48"/>
      <c r="S63" s="48"/>
      <c r="T63" s="48"/>
      <c r="U63" s="117"/>
    </row>
    <row r="64" spans="1:21" x14ac:dyDescent="0.3">
      <c r="A64" s="53">
        <v>46199</v>
      </c>
      <c r="B64" s="54">
        <v>0.875</v>
      </c>
      <c r="C64" s="45" t="s">
        <v>121</v>
      </c>
      <c r="D64" s="46">
        <v>1</v>
      </c>
      <c r="E64" s="46" t="s">
        <v>1</v>
      </c>
      <c r="F64" s="46">
        <v>1</v>
      </c>
      <c r="G64" s="45" t="s">
        <v>2</v>
      </c>
      <c r="K64" s="8" t="str">
        <f t="shared" si="3"/>
        <v>EMPATE</v>
      </c>
      <c r="L64" s="9">
        <f t="shared" si="4"/>
        <v>1</v>
      </c>
      <c r="M64" s="9">
        <f t="shared" si="5"/>
        <v>1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6</v>
      </c>
      <c r="Q64" s="117"/>
      <c r="R64" s="48"/>
      <c r="S64" s="48"/>
      <c r="T64" s="48"/>
      <c r="U64" s="117"/>
    </row>
    <row r="65" spans="1:26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2</v>
      </c>
      <c r="G65" s="45" t="s">
        <v>6</v>
      </c>
      <c r="K65" s="8" t="str">
        <f t="shared" si="3"/>
        <v>Espanha</v>
      </c>
      <c r="L65" s="9">
        <f t="shared" si="4"/>
        <v>2</v>
      </c>
      <c r="M65" s="9">
        <f t="shared" si="5"/>
        <v>1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3</v>
      </c>
      <c r="Q65" s="117"/>
      <c r="R65" s="48"/>
      <c r="S65" s="48"/>
      <c r="T65" s="48"/>
      <c r="U65" s="117"/>
    </row>
    <row r="66" spans="1:26" x14ac:dyDescent="0.3">
      <c r="A66" s="53">
        <v>46200</v>
      </c>
      <c r="B66" s="54">
        <v>0</v>
      </c>
      <c r="C66" s="45" t="s">
        <v>119</v>
      </c>
      <c r="D66" s="46">
        <v>1</v>
      </c>
      <c r="E66" s="46" t="s">
        <v>1</v>
      </c>
      <c r="F66" s="46">
        <v>0</v>
      </c>
      <c r="G66" s="45" t="s">
        <v>103</v>
      </c>
      <c r="K66" s="8" t="str">
        <f t="shared" si="3"/>
        <v>Egito</v>
      </c>
      <c r="L66" s="9">
        <f t="shared" si="4"/>
        <v>1</v>
      </c>
      <c r="M66" s="9">
        <f t="shared" si="5"/>
        <v>0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0</v>
      </c>
      <c r="Q66" s="117"/>
      <c r="R66" s="48"/>
      <c r="S66" s="48"/>
      <c r="T66" s="48"/>
      <c r="U66" s="117"/>
    </row>
    <row r="67" spans="1:26" x14ac:dyDescent="0.3">
      <c r="A67" s="53">
        <v>46200</v>
      </c>
      <c r="B67" s="54">
        <v>0</v>
      </c>
      <c r="C67" s="45" t="s">
        <v>120</v>
      </c>
      <c r="D67" s="46">
        <v>0</v>
      </c>
      <c r="E67" s="46" t="s">
        <v>1</v>
      </c>
      <c r="F67" s="46">
        <v>3</v>
      </c>
      <c r="G67" s="45" t="s">
        <v>16</v>
      </c>
      <c r="K67" s="8" t="str">
        <f t="shared" si="3"/>
        <v>Bélgica</v>
      </c>
      <c r="L67" s="9">
        <f t="shared" si="4"/>
        <v>3</v>
      </c>
      <c r="M67" s="9">
        <f t="shared" si="5"/>
        <v>0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3</v>
      </c>
      <c r="Q67" s="117"/>
      <c r="R67" s="48"/>
      <c r="S67" s="48"/>
      <c r="T67" s="48"/>
      <c r="U67" s="117"/>
    </row>
    <row r="68" spans="1:26" x14ac:dyDescent="0.3">
      <c r="A68" s="53">
        <v>46200</v>
      </c>
      <c r="B68" s="54">
        <v>0.75</v>
      </c>
      <c r="C68" s="45" t="s">
        <v>10</v>
      </c>
      <c r="D68" s="46">
        <v>2</v>
      </c>
      <c r="E68" s="46" t="s">
        <v>1</v>
      </c>
      <c r="F68" s="46">
        <v>1</v>
      </c>
      <c r="G68" s="45" t="s">
        <v>106</v>
      </c>
      <c r="K68" s="8" t="str">
        <f t="shared" ref="K68:K70" si="7">IF(D68="","",IF(D68&gt;F68,C68,IF(F68&gt;D68,G68,"EMPATE")))</f>
        <v>Croácia</v>
      </c>
      <c r="L68" s="9">
        <f t="shared" ref="L68:L70" si="8">IF(D68="","",IF(D68&gt;F68,D68,IF(F68&gt;D68,F68,D68)))</f>
        <v>2</v>
      </c>
      <c r="M68" s="9">
        <f t="shared" ref="M68:M70" si="9">IF(D68="","",IF(D68&lt;F68,D68,IF(F68&lt;D68,F68,D68)))</f>
        <v>1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9</v>
      </c>
      <c r="Q68" s="117"/>
      <c r="R68" s="48"/>
      <c r="S68" s="48"/>
      <c r="T68" s="48"/>
      <c r="U68" s="117"/>
    </row>
    <row r="69" spans="1:26" x14ac:dyDescent="0.3">
      <c r="A69" s="53">
        <v>46200</v>
      </c>
      <c r="B69" s="54">
        <v>0.75</v>
      </c>
      <c r="C69" s="45" t="s">
        <v>130</v>
      </c>
      <c r="D69" s="46">
        <v>0</v>
      </c>
      <c r="E69" s="46" t="s">
        <v>1</v>
      </c>
      <c r="F69" s="46">
        <v>2</v>
      </c>
      <c r="G69" s="45" t="s">
        <v>18</v>
      </c>
      <c r="K69" s="8" t="str">
        <f t="shared" si="7"/>
        <v>Inglaterra</v>
      </c>
      <c r="L69" s="9">
        <f t="shared" si="8"/>
        <v>2</v>
      </c>
      <c r="M69" s="9">
        <f t="shared" si="9"/>
        <v>0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9</v>
      </c>
      <c r="Q69" s="117"/>
      <c r="R69" s="48"/>
      <c r="S69" s="48"/>
      <c r="T69" s="48"/>
      <c r="U69" s="117"/>
    </row>
    <row r="70" spans="1:26" x14ac:dyDescent="0.3">
      <c r="A70" s="53">
        <v>46200</v>
      </c>
      <c r="B70" s="54">
        <v>0.85416666666666663</v>
      </c>
      <c r="C70" s="45" t="s">
        <v>127</v>
      </c>
      <c r="D70" s="46">
        <v>1</v>
      </c>
      <c r="E70" s="46" t="s">
        <v>1</v>
      </c>
      <c r="F70" s="46">
        <v>2</v>
      </c>
      <c r="G70" s="45" t="s">
        <v>128</v>
      </c>
      <c r="K70" s="8" t="str">
        <f t="shared" si="7"/>
        <v>Uzbequistão</v>
      </c>
      <c r="L70" s="9">
        <f t="shared" si="8"/>
        <v>2</v>
      </c>
      <c r="M70" s="9">
        <f t="shared" si="9"/>
        <v>1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0</v>
      </c>
      <c r="Q70" s="117"/>
      <c r="R70" s="48"/>
      <c r="S70" s="48"/>
      <c r="T70" s="48"/>
      <c r="U70" s="117"/>
    </row>
    <row r="71" spans="1:26" x14ac:dyDescent="0.3">
      <c r="A71" s="53">
        <v>46200</v>
      </c>
      <c r="B71" s="54">
        <v>0.85416666666666663</v>
      </c>
      <c r="C71" s="45" t="s">
        <v>129</v>
      </c>
      <c r="D71" s="46">
        <v>1</v>
      </c>
      <c r="E71" s="46" t="s">
        <v>1</v>
      </c>
      <c r="F71" s="46">
        <v>1</v>
      </c>
      <c r="G71" s="45" t="s">
        <v>5</v>
      </c>
      <c r="K71" s="8" t="str">
        <f t="shared" ref="K71:K105" si="10">IF(D71="","",IF(D71&gt;F71,C71,IF(F71&gt;D71,G71,"EMPATE")))</f>
        <v>EMPATE</v>
      </c>
      <c r="L71" s="9">
        <f t="shared" ref="L71:L105" si="11">IF(D71="","",IF(D71&gt;F71,D71,IF(F71&gt;D71,F71,D71)))</f>
        <v>1</v>
      </c>
      <c r="M71" s="9">
        <f t="shared" ref="M71:M105" si="12">IF(D71="","",IF(D71&lt;F71,D71,IF(F71&lt;D71,F71,D71)))</f>
        <v>1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6</v>
      </c>
      <c r="Q71" s="117"/>
      <c r="R71" s="48"/>
      <c r="S71" s="48"/>
      <c r="T71" s="48"/>
      <c r="U71" s="117"/>
    </row>
    <row r="72" spans="1:26" x14ac:dyDescent="0.3">
      <c r="A72" s="53">
        <v>46200</v>
      </c>
      <c r="B72" s="54">
        <v>0.95833333333333337</v>
      </c>
      <c r="C72" s="45" t="s">
        <v>126</v>
      </c>
      <c r="D72" s="46">
        <v>0</v>
      </c>
      <c r="E72" s="46" t="s">
        <v>1</v>
      </c>
      <c r="F72" s="46">
        <v>3</v>
      </c>
      <c r="G72" s="45" t="s">
        <v>9</v>
      </c>
      <c r="K72" s="8" t="str">
        <f t="shared" si="10"/>
        <v>Argentina</v>
      </c>
      <c r="L72" s="9">
        <f t="shared" si="11"/>
        <v>3</v>
      </c>
      <c r="M72" s="9">
        <f t="shared" si="12"/>
        <v>0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6</v>
      </c>
      <c r="Q72" s="117"/>
      <c r="R72" s="48"/>
      <c r="S72" s="48"/>
      <c r="T72" s="48"/>
      <c r="U72" s="117"/>
    </row>
    <row r="73" spans="1:26" x14ac:dyDescent="0.3">
      <c r="A73" s="53">
        <v>46200</v>
      </c>
      <c r="B73" s="54">
        <v>0.95833333333333337</v>
      </c>
      <c r="C73" s="45" t="s">
        <v>124</v>
      </c>
      <c r="D73" s="46">
        <v>1</v>
      </c>
      <c r="E73" s="46" t="s">
        <v>1</v>
      </c>
      <c r="F73" s="46">
        <v>2</v>
      </c>
      <c r="G73" s="45" t="s">
        <v>125</v>
      </c>
      <c r="K73" s="8" t="str">
        <f t="shared" si="10"/>
        <v>Áustria</v>
      </c>
      <c r="L73" s="9">
        <f t="shared" si="11"/>
        <v>2</v>
      </c>
      <c r="M73" s="9">
        <f t="shared" si="12"/>
        <v>1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0</v>
      </c>
      <c r="Q73" s="117"/>
      <c r="R73" s="48"/>
      <c r="S73" s="48"/>
      <c r="T73" s="48"/>
      <c r="U73" s="117"/>
    </row>
    <row r="74" spans="1:26" x14ac:dyDescent="0.3">
      <c r="A74" s="60">
        <v>46201</v>
      </c>
      <c r="B74" s="61">
        <v>0.66666666666666663</v>
      </c>
      <c r="C74" s="62" t="s">
        <v>88</v>
      </c>
      <c r="D74" s="63">
        <v>0</v>
      </c>
      <c r="E74" s="63" t="s">
        <v>1</v>
      </c>
      <c r="F74" s="63">
        <v>2</v>
      </c>
      <c r="G74" s="62" t="s">
        <v>105</v>
      </c>
      <c r="K74" s="8" t="str">
        <f t="shared" si="10"/>
        <v>Canadá</v>
      </c>
      <c r="L74" s="9">
        <f t="shared" si="11"/>
        <v>2</v>
      </c>
      <c r="M74" s="9">
        <f t="shared" si="12"/>
        <v>0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62" t="s">
        <v>88</v>
      </c>
      <c r="R74" s="63">
        <v>0</v>
      </c>
      <c r="S74" s="63" t="s">
        <v>1</v>
      </c>
      <c r="T74" s="63">
        <v>2</v>
      </c>
      <c r="U74" s="62" t="s">
        <v>105</v>
      </c>
      <c r="V74" t="b">
        <f>Q74=C74</f>
        <v>1</v>
      </c>
      <c r="Z74" t="b">
        <f>U74=G74</f>
        <v>1</v>
      </c>
    </row>
    <row r="75" spans="1:26" x14ac:dyDescent="0.3">
      <c r="A75" s="60">
        <v>46202</v>
      </c>
      <c r="B75" s="61">
        <v>0.58333333333333337</v>
      </c>
      <c r="C75" s="62" t="s">
        <v>11</v>
      </c>
      <c r="D75" s="63">
        <v>2</v>
      </c>
      <c r="E75" s="63" t="s">
        <v>1</v>
      </c>
      <c r="F75" s="63">
        <v>1</v>
      </c>
      <c r="G75" s="62" t="s">
        <v>19</v>
      </c>
      <c r="K75" s="8" t="str">
        <f t="shared" si="10"/>
        <v>Brasil</v>
      </c>
      <c r="L75" s="9">
        <f t="shared" si="11"/>
        <v>2</v>
      </c>
      <c r="M75" s="9">
        <f t="shared" si="12"/>
        <v>1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62" t="s">
        <v>11</v>
      </c>
      <c r="R75" s="63">
        <v>2</v>
      </c>
      <c r="S75" s="63" t="s">
        <v>1</v>
      </c>
      <c r="T75" s="63">
        <v>1</v>
      </c>
      <c r="U75" s="62" t="s">
        <v>19</v>
      </c>
      <c r="V75" t="b">
        <f t="shared" ref="V75:V89" si="13">Q75=C75</f>
        <v>1</v>
      </c>
      <c r="Z75" t="b">
        <f t="shared" ref="Z75:Z89" si="14">U75=G75</f>
        <v>1</v>
      </c>
    </row>
    <row r="76" spans="1:26" x14ac:dyDescent="0.3">
      <c r="A76" s="60">
        <v>46202</v>
      </c>
      <c r="B76" s="61">
        <v>0.72916666666666663</v>
      </c>
      <c r="C76" s="62" t="s">
        <v>12</v>
      </c>
      <c r="D76" s="63">
        <v>2</v>
      </c>
      <c r="E76" s="63" t="s">
        <v>1</v>
      </c>
      <c r="F76" s="63">
        <v>0</v>
      </c>
      <c r="G76" s="62" t="s">
        <v>115</v>
      </c>
      <c r="K76" s="8" t="str">
        <f t="shared" si="10"/>
        <v>Alemanha</v>
      </c>
      <c r="L76" s="9">
        <f t="shared" si="11"/>
        <v>2</v>
      </c>
      <c r="M76" s="9">
        <f t="shared" si="12"/>
        <v>0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62" t="s">
        <v>12</v>
      </c>
      <c r="R76" s="63">
        <v>2</v>
      </c>
      <c r="S76" s="63" t="s">
        <v>1</v>
      </c>
      <c r="T76" s="63">
        <v>0</v>
      </c>
      <c r="U76" s="62" t="s">
        <v>115</v>
      </c>
      <c r="V76" t="b">
        <f t="shared" si="13"/>
        <v>1</v>
      </c>
      <c r="Z76" t="b">
        <f t="shared" si="14"/>
        <v>1</v>
      </c>
    </row>
    <row r="77" spans="1:26" x14ac:dyDescent="0.3">
      <c r="A77" s="60">
        <v>46202</v>
      </c>
      <c r="B77" s="61">
        <v>0.91666666666666663</v>
      </c>
      <c r="C77" s="62" t="s">
        <v>78</v>
      </c>
      <c r="D77" s="63">
        <v>1</v>
      </c>
      <c r="E77" s="63" t="s">
        <v>1</v>
      </c>
      <c r="F77" s="63">
        <v>1</v>
      </c>
      <c r="G77" s="62" t="s">
        <v>4</v>
      </c>
      <c r="K77" s="8" t="str">
        <f t="shared" si="10"/>
        <v>EMPATE</v>
      </c>
      <c r="L77" s="9">
        <f t="shared" si="11"/>
        <v>1</v>
      </c>
      <c r="M77" s="9">
        <f t="shared" si="12"/>
        <v>1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62" t="s">
        <v>78</v>
      </c>
      <c r="R77" s="63">
        <v>1</v>
      </c>
      <c r="S77" s="63" t="s">
        <v>1</v>
      </c>
      <c r="T77" s="63">
        <v>1</v>
      </c>
      <c r="U77" s="62" t="s">
        <v>4</v>
      </c>
      <c r="V77" t="b">
        <f t="shared" si="13"/>
        <v>1</v>
      </c>
      <c r="Z77" t="b">
        <f t="shared" si="14"/>
        <v>1</v>
      </c>
    </row>
    <row r="78" spans="1:26" x14ac:dyDescent="0.3">
      <c r="A78" s="60">
        <v>46203</v>
      </c>
      <c r="B78" s="61">
        <v>0.58333333333333337</v>
      </c>
      <c r="C78" s="62" t="s">
        <v>118</v>
      </c>
      <c r="D78" s="63">
        <v>1</v>
      </c>
      <c r="E78" s="63" t="s">
        <v>1</v>
      </c>
      <c r="F78" s="63">
        <v>2</v>
      </c>
      <c r="G78" s="62" t="s">
        <v>123</v>
      </c>
      <c r="K78" s="8" t="str">
        <f t="shared" si="10"/>
        <v>Noruega</v>
      </c>
      <c r="L78" s="9">
        <f t="shared" si="11"/>
        <v>2</v>
      </c>
      <c r="M78" s="9">
        <f t="shared" si="12"/>
        <v>1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62" t="s">
        <v>118</v>
      </c>
      <c r="R78" s="63">
        <v>1</v>
      </c>
      <c r="S78" s="63" t="s">
        <v>1</v>
      </c>
      <c r="T78" s="63">
        <v>2</v>
      </c>
      <c r="U78" s="62" t="s">
        <v>123</v>
      </c>
      <c r="V78" t="b">
        <f t="shared" si="13"/>
        <v>1</v>
      </c>
      <c r="Z78" t="b">
        <f t="shared" si="14"/>
        <v>1</v>
      </c>
    </row>
    <row r="79" spans="1:26" x14ac:dyDescent="0.3">
      <c r="A79" s="60">
        <v>46203</v>
      </c>
      <c r="B79" s="61">
        <v>0.75</v>
      </c>
      <c r="C79" s="62" t="s">
        <v>7</v>
      </c>
      <c r="D79" s="63">
        <v>2</v>
      </c>
      <c r="E79" s="63" t="s">
        <v>1</v>
      </c>
      <c r="F79" s="63">
        <v>0</v>
      </c>
      <c r="G79" s="62" t="s">
        <v>14</v>
      </c>
      <c r="K79" s="8" t="str">
        <f t="shared" si="10"/>
        <v>França</v>
      </c>
      <c r="L79" s="9">
        <f t="shared" si="11"/>
        <v>2</v>
      </c>
      <c r="M79" s="9">
        <f t="shared" si="12"/>
        <v>0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62" t="s">
        <v>7</v>
      </c>
      <c r="R79" s="63">
        <v>2</v>
      </c>
      <c r="S79" s="63" t="s">
        <v>1</v>
      </c>
      <c r="T79" s="63">
        <v>0</v>
      </c>
      <c r="U79" s="62" t="s">
        <v>14</v>
      </c>
      <c r="V79" t="b">
        <f t="shared" si="13"/>
        <v>1</v>
      </c>
      <c r="Z79" t="b">
        <f t="shared" si="14"/>
        <v>1</v>
      </c>
    </row>
    <row r="80" spans="1:26" x14ac:dyDescent="0.3">
      <c r="A80" s="60">
        <v>46203</v>
      </c>
      <c r="B80" s="61">
        <v>0.91666666666666663</v>
      </c>
      <c r="C80" s="62" t="s">
        <v>13</v>
      </c>
      <c r="D80" s="63">
        <v>2</v>
      </c>
      <c r="E80" s="63" t="s">
        <v>1</v>
      </c>
      <c r="F80" s="63">
        <v>1</v>
      </c>
      <c r="G80" s="62" t="s">
        <v>102</v>
      </c>
      <c r="K80" s="8" t="str">
        <f t="shared" si="10"/>
        <v>México</v>
      </c>
      <c r="L80" s="9">
        <f t="shared" si="11"/>
        <v>2</v>
      </c>
      <c r="M80" s="9">
        <f t="shared" si="12"/>
        <v>1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62" t="s">
        <v>13</v>
      </c>
      <c r="R80" s="63">
        <v>2</v>
      </c>
      <c r="S80" s="63" t="s">
        <v>1</v>
      </c>
      <c r="T80" s="63">
        <v>1</v>
      </c>
      <c r="U80" s="62" t="s">
        <v>102</v>
      </c>
      <c r="V80" t="b">
        <f t="shared" si="13"/>
        <v>1</v>
      </c>
      <c r="Z80" t="b">
        <f t="shared" si="14"/>
        <v>1</v>
      </c>
    </row>
    <row r="81" spans="1:26" x14ac:dyDescent="0.3">
      <c r="A81" s="60">
        <v>46204</v>
      </c>
      <c r="B81" s="61">
        <v>0.54166666666666663</v>
      </c>
      <c r="C81" s="62" t="s">
        <v>18</v>
      </c>
      <c r="D81" s="63">
        <v>3</v>
      </c>
      <c r="E81" s="63" t="s">
        <v>1</v>
      </c>
      <c r="F81" s="63">
        <v>0</v>
      </c>
      <c r="G81" s="62" t="s">
        <v>127</v>
      </c>
      <c r="K81" s="8" t="str">
        <f t="shared" si="10"/>
        <v>Inglaterra</v>
      </c>
      <c r="L81" s="9">
        <f t="shared" si="11"/>
        <v>3</v>
      </c>
      <c r="M81" s="9">
        <f t="shared" si="12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62" t="s">
        <v>18</v>
      </c>
      <c r="R81" s="63">
        <v>3</v>
      </c>
      <c r="S81" s="63" t="s">
        <v>1</v>
      </c>
      <c r="T81" s="63">
        <v>0</v>
      </c>
      <c r="U81" s="62" t="s">
        <v>127</v>
      </c>
      <c r="V81" t="b">
        <f t="shared" si="13"/>
        <v>1</v>
      </c>
      <c r="Z81" t="b">
        <f t="shared" si="14"/>
        <v>1</v>
      </c>
    </row>
    <row r="82" spans="1:26" x14ac:dyDescent="0.3">
      <c r="A82" s="60">
        <v>46204</v>
      </c>
      <c r="B82" s="61">
        <v>0.70833333333333337</v>
      </c>
      <c r="C82" s="62" t="s">
        <v>16</v>
      </c>
      <c r="D82" s="63">
        <v>2</v>
      </c>
      <c r="E82" s="63" t="s">
        <v>1</v>
      </c>
      <c r="F82" s="63">
        <v>1</v>
      </c>
      <c r="G82" s="62" t="s">
        <v>20</v>
      </c>
      <c r="K82" s="8" t="str">
        <f t="shared" si="10"/>
        <v>Bélgica</v>
      </c>
      <c r="L82" s="9">
        <f t="shared" si="11"/>
        <v>2</v>
      </c>
      <c r="M82" s="9">
        <f t="shared" si="12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62" t="s">
        <v>16</v>
      </c>
      <c r="R82" s="63">
        <v>2</v>
      </c>
      <c r="S82" s="63" t="s">
        <v>1</v>
      </c>
      <c r="T82" s="63">
        <v>1</v>
      </c>
      <c r="U82" s="62" t="s">
        <v>20</v>
      </c>
      <c r="V82" t="b">
        <f t="shared" si="13"/>
        <v>1</v>
      </c>
      <c r="Z82" t="b">
        <f t="shared" si="14"/>
        <v>1</v>
      </c>
    </row>
    <row r="83" spans="1:26" x14ac:dyDescent="0.3">
      <c r="A83" s="60">
        <v>46204</v>
      </c>
      <c r="B83" s="61">
        <v>0.875</v>
      </c>
      <c r="C83" s="62" t="s">
        <v>104</v>
      </c>
      <c r="D83" s="63">
        <v>1</v>
      </c>
      <c r="E83" s="63" t="s">
        <v>1</v>
      </c>
      <c r="F83" s="63">
        <v>1</v>
      </c>
      <c r="G83" s="62" t="s">
        <v>112</v>
      </c>
      <c r="K83" s="8" t="str">
        <f t="shared" si="10"/>
        <v>EMPATE</v>
      </c>
      <c r="L83" s="9">
        <f t="shared" si="11"/>
        <v>1</v>
      </c>
      <c r="M83" s="9">
        <f t="shared" si="12"/>
        <v>1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62" t="s">
        <v>104</v>
      </c>
      <c r="R83" s="63">
        <v>1</v>
      </c>
      <c r="S83" s="63" t="s">
        <v>1</v>
      </c>
      <c r="T83" s="63">
        <v>1</v>
      </c>
      <c r="U83" s="62" t="s">
        <v>112</v>
      </c>
      <c r="V83" t="b">
        <f t="shared" si="13"/>
        <v>1</v>
      </c>
      <c r="Z83" t="b">
        <f t="shared" si="14"/>
        <v>1</v>
      </c>
    </row>
    <row r="84" spans="1:26" x14ac:dyDescent="0.3">
      <c r="A84" s="60">
        <v>46205</v>
      </c>
      <c r="B84" s="61">
        <v>0.66666666666666663</v>
      </c>
      <c r="C84" s="62" t="s">
        <v>6</v>
      </c>
      <c r="D84" s="63">
        <v>2</v>
      </c>
      <c r="E84" s="63" t="s">
        <v>1</v>
      </c>
      <c r="F84" s="63">
        <v>0</v>
      </c>
      <c r="G84" s="62" t="s">
        <v>125</v>
      </c>
      <c r="K84" s="8" t="str">
        <f t="shared" si="10"/>
        <v>Espanha</v>
      </c>
      <c r="L84" s="9">
        <f t="shared" si="11"/>
        <v>2</v>
      </c>
      <c r="M84" s="9">
        <f t="shared" si="12"/>
        <v>0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62" t="s">
        <v>6</v>
      </c>
      <c r="R84" s="63">
        <v>2</v>
      </c>
      <c r="S84" s="63" t="s">
        <v>1</v>
      </c>
      <c r="T84" s="63">
        <v>0</v>
      </c>
      <c r="U84" s="62" t="s">
        <v>125</v>
      </c>
      <c r="V84" t="b">
        <f t="shared" si="13"/>
        <v>1</v>
      </c>
      <c r="Z84" t="b">
        <f t="shared" si="14"/>
        <v>1</v>
      </c>
    </row>
    <row r="85" spans="1:26" x14ac:dyDescent="0.3">
      <c r="A85" s="60">
        <v>46205</v>
      </c>
      <c r="B85" s="61">
        <v>0.83333333333333337</v>
      </c>
      <c r="C85" s="62" t="s">
        <v>5</v>
      </c>
      <c r="D85" s="63">
        <v>2</v>
      </c>
      <c r="E85" s="63" t="s">
        <v>1</v>
      </c>
      <c r="F85" s="63">
        <v>1</v>
      </c>
      <c r="G85" s="62" t="s">
        <v>10</v>
      </c>
      <c r="K85" s="8" t="str">
        <f t="shared" si="10"/>
        <v>Portugal</v>
      </c>
      <c r="L85" s="9">
        <f t="shared" si="11"/>
        <v>2</v>
      </c>
      <c r="M85" s="9">
        <f t="shared" si="12"/>
        <v>1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62" t="s">
        <v>5</v>
      </c>
      <c r="R85" s="63">
        <v>2</v>
      </c>
      <c r="S85" s="63" t="s">
        <v>1</v>
      </c>
      <c r="T85" s="63">
        <v>1</v>
      </c>
      <c r="U85" s="62" t="s">
        <v>10</v>
      </c>
      <c r="V85" t="b">
        <f t="shared" si="13"/>
        <v>1</v>
      </c>
      <c r="Z85" t="b">
        <f t="shared" si="14"/>
        <v>1</v>
      </c>
    </row>
    <row r="86" spans="1:26" x14ac:dyDescent="0.3">
      <c r="A86" s="60">
        <v>46206</v>
      </c>
      <c r="B86" s="61">
        <v>0</v>
      </c>
      <c r="C86" s="62" t="s">
        <v>72</v>
      </c>
      <c r="D86" s="63">
        <v>2</v>
      </c>
      <c r="E86" s="63" t="s">
        <v>1</v>
      </c>
      <c r="F86" s="63">
        <v>1</v>
      </c>
      <c r="G86" s="62" t="s">
        <v>124</v>
      </c>
      <c r="K86" s="8" t="str">
        <f t="shared" si="10"/>
        <v>Suíça</v>
      </c>
      <c r="L86" s="9">
        <f t="shared" si="11"/>
        <v>2</v>
      </c>
      <c r="M86" s="9">
        <f t="shared" si="12"/>
        <v>1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62" t="s">
        <v>72</v>
      </c>
      <c r="R86" s="63">
        <v>2</v>
      </c>
      <c r="S86" s="63" t="s">
        <v>1</v>
      </c>
      <c r="T86" s="63">
        <v>1</v>
      </c>
      <c r="U86" s="62" t="s">
        <v>124</v>
      </c>
      <c r="V86" t="b">
        <f t="shared" si="13"/>
        <v>1</v>
      </c>
      <c r="Z86" t="b">
        <f t="shared" si="14"/>
        <v>1</v>
      </c>
    </row>
    <row r="87" spans="1:26" x14ac:dyDescent="0.3">
      <c r="A87" s="60">
        <v>46206</v>
      </c>
      <c r="B87" s="61">
        <v>0.625</v>
      </c>
      <c r="C87" s="62" t="s">
        <v>8</v>
      </c>
      <c r="D87" s="63">
        <v>1</v>
      </c>
      <c r="E87" s="63" t="s">
        <v>1</v>
      </c>
      <c r="F87" s="63">
        <v>2</v>
      </c>
      <c r="G87" s="62" t="s">
        <v>119</v>
      </c>
      <c r="K87" s="8" t="str">
        <f t="shared" si="10"/>
        <v>Egito</v>
      </c>
      <c r="L87" s="9">
        <f t="shared" si="11"/>
        <v>2</v>
      </c>
      <c r="M87" s="9">
        <f t="shared" si="12"/>
        <v>1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62" t="s">
        <v>8</v>
      </c>
      <c r="R87" s="63">
        <v>1</v>
      </c>
      <c r="S87" s="63" t="s">
        <v>1</v>
      </c>
      <c r="T87" s="63">
        <v>2</v>
      </c>
      <c r="U87" s="62" t="s">
        <v>119</v>
      </c>
      <c r="V87" t="b">
        <f t="shared" si="13"/>
        <v>1</v>
      </c>
      <c r="Z87" t="b">
        <f t="shared" si="14"/>
        <v>1</v>
      </c>
    </row>
    <row r="88" spans="1:26" x14ac:dyDescent="0.3">
      <c r="A88" s="60">
        <v>46206</v>
      </c>
      <c r="B88" s="61">
        <v>0.79166666666666663</v>
      </c>
      <c r="C88" s="62" t="s">
        <v>9</v>
      </c>
      <c r="D88" s="63">
        <v>3</v>
      </c>
      <c r="E88" s="63" t="s">
        <v>1</v>
      </c>
      <c r="F88" s="63">
        <v>0</v>
      </c>
      <c r="G88" s="62" t="s">
        <v>121</v>
      </c>
      <c r="K88" s="8" t="str">
        <f t="shared" si="10"/>
        <v>Argentina</v>
      </c>
      <c r="L88" s="9">
        <f t="shared" si="11"/>
        <v>3</v>
      </c>
      <c r="M88" s="9">
        <f t="shared" si="12"/>
        <v>0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62" t="s">
        <v>9</v>
      </c>
      <c r="R88" s="63">
        <v>3</v>
      </c>
      <c r="S88" s="63" t="s">
        <v>1</v>
      </c>
      <c r="T88" s="63">
        <v>0</v>
      </c>
      <c r="U88" s="62" t="s">
        <v>121</v>
      </c>
      <c r="V88" t="b">
        <f t="shared" si="13"/>
        <v>1</v>
      </c>
      <c r="Z88" t="b">
        <f t="shared" si="14"/>
        <v>1</v>
      </c>
    </row>
    <row r="89" spans="1:26" x14ac:dyDescent="0.3">
      <c r="A89" s="60">
        <v>46206</v>
      </c>
      <c r="B89" s="61">
        <v>0.9375</v>
      </c>
      <c r="C89" s="62" t="s">
        <v>129</v>
      </c>
      <c r="D89" s="63">
        <v>2</v>
      </c>
      <c r="E89" s="63" t="s">
        <v>1</v>
      </c>
      <c r="F89" s="63">
        <v>0</v>
      </c>
      <c r="G89" s="62" t="s">
        <v>106</v>
      </c>
      <c r="K89" s="8" t="str">
        <f t="shared" si="10"/>
        <v>Colômbia</v>
      </c>
      <c r="L89" s="9">
        <f t="shared" si="11"/>
        <v>2</v>
      </c>
      <c r="M89" s="9">
        <f t="shared" si="12"/>
        <v>0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62" t="s">
        <v>129</v>
      </c>
      <c r="R89" s="63">
        <v>2</v>
      </c>
      <c r="S89" s="63" t="s">
        <v>1</v>
      </c>
      <c r="T89" s="63">
        <v>0</v>
      </c>
      <c r="U89" s="62" t="s">
        <v>106</v>
      </c>
      <c r="V89" t="b">
        <f t="shared" si="13"/>
        <v>1</v>
      </c>
      <c r="Z89" t="b">
        <f t="shared" si="14"/>
        <v>1</v>
      </c>
    </row>
    <row r="90" spans="1:26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6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6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6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6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6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6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9637-CDA9-4757-A752-1778687B7EAB}">
  <dimension ref="A1:AB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28</v>
      </c>
      <c r="I1" s="135"/>
      <c r="J1" s="142"/>
      <c r="K1" s="3" t="s">
        <v>32</v>
      </c>
      <c r="L1" s="3" t="s">
        <v>30</v>
      </c>
      <c r="M1" s="3" t="s">
        <v>31</v>
      </c>
      <c r="O1" s="4" t="s">
        <v>33</v>
      </c>
    </row>
    <row r="2" spans="1:15" ht="15.75" customHeight="1" x14ac:dyDescent="0.3">
      <c r="A2" s="53">
        <v>46184</v>
      </c>
      <c r="B2" s="54">
        <v>0.66666666666666663</v>
      </c>
      <c r="C2" s="55" t="s">
        <v>13</v>
      </c>
      <c r="D2" s="46">
        <v>1</v>
      </c>
      <c r="E2" s="46" t="s">
        <v>1</v>
      </c>
      <c r="F2" s="46">
        <v>1</v>
      </c>
      <c r="G2" s="55" t="s">
        <v>88</v>
      </c>
      <c r="H2" s="141"/>
      <c r="I2" s="135"/>
      <c r="J2" s="142"/>
      <c r="K2" s="8" t="str">
        <f t="shared" ref="K2:K3" si="0">IF(D2="","",IF(D2&gt;F2,C2,IF(F2&gt;D2,G2,"EMPATE")))</f>
        <v>EMPATE</v>
      </c>
      <c r="L2" s="9">
        <f t="shared" ref="L2:L3" si="1">IF(D2="","",IF(D2&gt;F2,D2,IF(F2&gt;D2,F2,D2)))</f>
        <v>1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0</v>
      </c>
    </row>
    <row r="3" spans="1:15" ht="15.75" customHeight="1" x14ac:dyDescent="0.3">
      <c r="A3" s="53">
        <v>46184</v>
      </c>
      <c r="B3" s="54">
        <v>0.95833333333333337</v>
      </c>
      <c r="C3" s="55" t="s">
        <v>15</v>
      </c>
      <c r="D3" s="46">
        <v>0</v>
      </c>
      <c r="E3" s="46" t="s">
        <v>1</v>
      </c>
      <c r="F3" s="46">
        <v>1</v>
      </c>
      <c r="G3" s="55" t="s">
        <v>111</v>
      </c>
      <c r="H3" s="141"/>
      <c r="I3" s="135"/>
      <c r="J3" s="142"/>
      <c r="K3" s="8" t="str">
        <f t="shared" si="0"/>
        <v>República Tcheca</v>
      </c>
      <c r="L3" s="9">
        <f t="shared" si="1"/>
        <v>1</v>
      </c>
      <c r="M3" s="9">
        <f t="shared" si="2"/>
        <v>0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53">
        <v>46185</v>
      </c>
      <c r="B4" s="54">
        <v>0.66666666666666663</v>
      </c>
      <c r="C4" s="55" t="s">
        <v>105</v>
      </c>
      <c r="D4" s="46">
        <v>1</v>
      </c>
      <c r="E4" s="46" t="s">
        <v>1</v>
      </c>
      <c r="F4" s="46">
        <v>0</v>
      </c>
      <c r="G4" s="55" t="s">
        <v>112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1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53">
        <v>46185</v>
      </c>
      <c r="B5" s="54">
        <v>0.91666666666666663</v>
      </c>
      <c r="C5" s="55" t="s">
        <v>104</v>
      </c>
      <c r="D5" s="46">
        <v>1</v>
      </c>
      <c r="E5" s="46" t="s">
        <v>1</v>
      </c>
      <c r="F5" s="46">
        <v>2</v>
      </c>
      <c r="G5" s="55" t="s">
        <v>115</v>
      </c>
      <c r="I5" s="18"/>
      <c r="K5" s="8" t="str">
        <f t="shared" si="3"/>
        <v>Paraguai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0</v>
      </c>
    </row>
    <row r="6" spans="1:15" ht="15.75" customHeight="1" x14ac:dyDescent="0.3">
      <c r="A6" s="53">
        <v>46186</v>
      </c>
      <c r="B6" s="54">
        <v>0.66666666666666663</v>
      </c>
      <c r="C6" s="55" t="s">
        <v>97</v>
      </c>
      <c r="D6" s="46">
        <v>0</v>
      </c>
      <c r="E6" s="46" t="s">
        <v>1</v>
      </c>
      <c r="F6" s="46">
        <v>2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3"/>
        <v>Suíça</v>
      </c>
      <c r="L6" s="9">
        <f t="shared" si="4"/>
        <v>2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53">
        <v>46186</v>
      </c>
      <c r="B7" s="54">
        <v>0.79166666666666663</v>
      </c>
      <c r="C7" s="55" t="s">
        <v>11</v>
      </c>
      <c r="D7" s="46">
        <v>2</v>
      </c>
      <c r="E7" s="46" t="s">
        <v>1</v>
      </c>
      <c r="F7" s="46">
        <v>1</v>
      </c>
      <c r="G7" s="55" t="s">
        <v>4</v>
      </c>
      <c r="H7" s="15">
        <v>9</v>
      </c>
      <c r="I7" s="15">
        <f>COUNTIF($O$2:$O$105,9)</f>
        <v>1</v>
      </c>
      <c r="J7" s="15">
        <f>H7*I7</f>
        <v>9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53">
        <v>46186</v>
      </c>
      <c r="B8" s="54">
        <v>0.91666666666666663</v>
      </c>
      <c r="C8" s="55" t="s">
        <v>113</v>
      </c>
      <c r="D8" s="46">
        <v>2</v>
      </c>
      <c r="E8" s="46" t="s">
        <v>1</v>
      </c>
      <c r="F8" s="46">
        <v>0</v>
      </c>
      <c r="G8" s="55" t="s">
        <v>114</v>
      </c>
      <c r="H8" s="15">
        <v>6</v>
      </c>
      <c r="I8" s="15">
        <f>COUNTIF($O$2:$O$105,6)</f>
        <v>9</v>
      </c>
      <c r="J8" s="15">
        <f t="shared" ref="J8:J11" si="6">H8*I8</f>
        <v>54</v>
      </c>
      <c r="K8" s="8" t="str">
        <f t="shared" si="3"/>
        <v>Haiti</v>
      </c>
      <c r="L8" s="9">
        <f t="shared" si="4"/>
        <v>2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0</v>
      </c>
    </row>
    <row r="9" spans="1:15" ht="15.75" customHeight="1" x14ac:dyDescent="0.3">
      <c r="A9" s="53">
        <v>46187</v>
      </c>
      <c r="B9" s="54">
        <v>4.1666666666666664E-2</v>
      </c>
      <c r="C9" s="55" t="s">
        <v>8</v>
      </c>
      <c r="D9" s="46">
        <v>0</v>
      </c>
      <c r="E9" s="46" t="s">
        <v>1</v>
      </c>
      <c r="F9" s="46">
        <v>2</v>
      </c>
      <c r="G9" s="55" t="s">
        <v>116</v>
      </c>
      <c r="H9" s="15">
        <v>4</v>
      </c>
      <c r="I9" s="15">
        <f>COUNTIF($O$2:$O$105,4)</f>
        <v>15</v>
      </c>
      <c r="J9" s="15">
        <f t="shared" si="6"/>
        <v>60</v>
      </c>
      <c r="K9" s="8" t="str">
        <f t="shared" si="3"/>
        <v>Turquia</v>
      </c>
      <c r="L9" s="9">
        <f t="shared" si="4"/>
        <v>2</v>
      </c>
      <c r="M9" s="9">
        <f t="shared" si="5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53">
        <v>46187</v>
      </c>
      <c r="B10" s="54">
        <v>0.58333333333333337</v>
      </c>
      <c r="C10" s="55" t="s">
        <v>12</v>
      </c>
      <c r="D10" s="46">
        <v>8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13</v>
      </c>
      <c r="J10" s="15">
        <f t="shared" si="6"/>
        <v>39</v>
      </c>
      <c r="K10" s="8" t="str">
        <f t="shared" si="3"/>
        <v>Alemanha</v>
      </c>
      <c r="L10" s="9">
        <f t="shared" si="4"/>
        <v>8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53">
        <v>46187</v>
      </c>
      <c r="B11" s="54">
        <v>0.70833333333333337</v>
      </c>
      <c r="C11" s="55" t="s">
        <v>78</v>
      </c>
      <c r="D11" s="46">
        <v>3</v>
      </c>
      <c r="E11" s="46" t="s">
        <v>1</v>
      </c>
      <c r="F11" s="46">
        <v>1</v>
      </c>
      <c r="G11" s="55" t="s">
        <v>19</v>
      </c>
      <c r="H11" s="15">
        <v>0</v>
      </c>
      <c r="I11" s="15">
        <f>COUNTIF($O$2:$O$105,0)</f>
        <v>34</v>
      </c>
      <c r="J11" s="15">
        <f t="shared" si="6"/>
        <v>0</v>
      </c>
      <c r="K11" s="8" t="str">
        <f t="shared" si="3"/>
        <v>Holanda</v>
      </c>
      <c r="L11" s="9">
        <f t="shared" si="4"/>
        <v>3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" x14ac:dyDescent="0.35">
      <c r="A12" s="53">
        <v>46187</v>
      </c>
      <c r="B12" s="54">
        <v>0.83333333333333337</v>
      </c>
      <c r="C12" s="55" t="s">
        <v>118</v>
      </c>
      <c r="D12" s="46">
        <v>1</v>
      </c>
      <c r="E12" s="46" t="s">
        <v>1</v>
      </c>
      <c r="F12" s="46">
        <v>2</v>
      </c>
      <c r="G12" s="55" t="s">
        <v>102</v>
      </c>
      <c r="H12" s="15"/>
      <c r="I12" s="16" t="s">
        <v>46</v>
      </c>
      <c r="J12" s="17">
        <f>SUM(J7:J11)</f>
        <v>162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53">
        <v>46187</v>
      </c>
      <c r="B13" s="54">
        <v>0.95833333333333337</v>
      </c>
      <c r="C13" s="55" t="s">
        <v>14</v>
      </c>
      <c r="D13" s="46">
        <v>1</v>
      </c>
      <c r="E13" s="46" t="s">
        <v>1</v>
      </c>
      <c r="F13" s="46">
        <v>1</v>
      </c>
      <c r="G13" s="55" t="s">
        <v>17</v>
      </c>
      <c r="K13" s="8" t="str">
        <f t="shared" si="3"/>
        <v>EMPATE</v>
      </c>
      <c r="L13" s="9">
        <f t="shared" si="4"/>
        <v>1</v>
      </c>
      <c r="M13" s="9">
        <f t="shared" si="5"/>
        <v>1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0</v>
      </c>
    </row>
    <row r="14" spans="1:15" x14ac:dyDescent="0.3">
      <c r="A14" s="53">
        <v>46188</v>
      </c>
      <c r="B14" s="54">
        <v>0.54166666666666663</v>
      </c>
      <c r="C14" s="55" t="s">
        <v>6</v>
      </c>
      <c r="D14" s="46">
        <v>6</v>
      </c>
      <c r="E14" s="46" t="s">
        <v>1</v>
      </c>
      <c r="F14" s="46">
        <v>0</v>
      </c>
      <c r="G14" s="55" t="s">
        <v>121</v>
      </c>
      <c r="K14" s="8" t="str">
        <f t="shared" si="3"/>
        <v>Espanha</v>
      </c>
      <c r="L14" s="9">
        <f t="shared" si="4"/>
        <v>6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53">
        <v>46188</v>
      </c>
      <c r="B15" s="54">
        <v>0.66666666666666663</v>
      </c>
      <c r="C15" s="55" t="s">
        <v>16</v>
      </c>
      <c r="D15" s="46">
        <v>2</v>
      </c>
      <c r="E15" s="46" t="s">
        <v>1</v>
      </c>
      <c r="F15" s="46">
        <v>1</v>
      </c>
      <c r="G15" s="55" t="s">
        <v>119</v>
      </c>
      <c r="K15" s="8" t="str">
        <f t="shared" si="3"/>
        <v>Bélgica</v>
      </c>
      <c r="L15" s="9">
        <f t="shared" si="4"/>
        <v>2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53">
        <v>46188</v>
      </c>
      <c r="B16" s="54">
        <v>0.79166666666666663</v>
      </c>
      <c r="C16" s="55" t="s">
        <v>2</v>
      </c>
      <c r="D16" s="46">
        <v>0</v>
      </c>
      <c r="E16" s="46" t="s">
        <v>1</v>
      </c>
      <c r="F16" s="46">
        <v>2</v>
      </c>
      <c r="G16" s="55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53">
        <v>46188</v>
      </c>
      <c r="B17" s="54">
        <v>0.91666666666666663</v>
      </c>
      <c r="C17" s="55" t="s">
        <v>103</v>
      </c>
      <c r="D17" s="46">
        <v>0</v>
      </c>
      <c r="E17" s="46" t="s">
        <v>1</v>
      </c>
      <c r="F17" s="46">
        <v>0</v>
      </c>
      <c r="G17" s="55" t="s">
        <v>120</v>
      </c>
      <c r="K17" s="8" t="str">
        <f t="shared" si="3"/>
        <v>EMPATE</v>
      </c>
      <c r="L17" s="9">
        <f t="shared" si="4"/>
        <v>0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6</v>
      </c>
    </row>
    <row r="18" spans="1:21" x14ac:dyDescent="0.3">
      <c r="A18" s="53">
        <v>46189</v>
      </c>
      <c r="B18" s="54">
        <v>0.66666666666666663</v>
      </c>
      <c r="C18" s="55" t="s">
        <v>7</v>
      </c>
      <c r="D18" s="46">
        <v>4</v>
      </c>
      <c r="E18" s="46" t="s">
        <v>1</v>
      </c>
      <c r="F18" s="46">
        <v>1</v>
      </c>
      <c r="G18" s="55" t="s">
        <v>20</v>
      </c>
      <c r="K18" s="8" t="str">
        <f t="shared" si="3"/>
        <v>França</v>
      </c>
      <c r="L18" s="9">
        <f t="shared" si="4"/>
        <v>4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1" x14ac:dyDescent="0.3">
      <c r="A19" s="53">
        <v>46189</v>
      </c>
      <c r="B19" s="54">
        <v>0.79166666666666663</v>
      </c>
      <c r="C19" s="55" t="s">
        <v>122</v>
      </c>
      <c r="D19" s="46">
        <v>0</v>
      </c>
      <c r="E19" s="46" t="s">
        <v>1</v>
      </c>
      <c r="F19" s="46">
        <v>3</v>
      </c>
      <c r="G19" s="55" t="s">
        <v>123</v>
      </c>
      <c r="K19" s="8" t="str">
        <f t="shared" si="3"/>
        <v>Noruega</v>
      </c>
      <c r="L19" s="9">
        <f t="shared" si="4"/>
        <v>3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3">
      <c r="A20" s="53">
        <v>46189</v>
      </c>
      <c r="B20" s="54">
        <v>0.91666666666666663</v>
      </c>
      <c r="C20" s="55" t="s">
        <v>9</v>
      </c>
      <c r="D20" s="46">
        <v>2</v>
      </c>
      <c r="E20" s="46" t="s">
        <v>1</v>
      </c>
      <c r="F20" s="46">
        <v>1</v>
      </c>
      <c r="G20" s="55" t="s">
        <v>124</v>
      </c>
      <c r="K20" s="8" t="str">
        <f t="shared" si="3"/>
        <v>Argentina</v>
      </c>
      <c r="L20" s="9">
        <f t="shared" si="4"/>
        <v>2</v>
      </c>
      <c r="M20" s="9">
        <f t="shared" si="5"/>
        <v>1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3</v>
      </c>
    </row>
    <row r="21" spans="1:21" x14ac:dyDescent="0.3">
      <c r="A21" s="53">
        <v>46190</v>
      </c>
      <c r="B21" s="54">
        <v>4.1666666666666664E-2</v>
      </c>
      <c r="C21" s="55" t="s">
        <v>125</v>
      </c>
      <c r="D21" s="46">
        <v>1</v>
      </c>
      <c r="E21" s="46" t="s">
        <v>1</v>
      </c>
      <c r="F21" s="46">
        <v>0</v>
      </c>
      <c r="G21" s="55" t="s">
        <v>126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3">
      <c r="A22" s="53">
        <v>46190</v>
      </c>
      <c r="B22" s="54">
        <v>0.58333333333333337</v>
      </c>
      <c r="C22" s="55" t="s">
        <v>5</v>
      </c>
      <c r="D22" s="46">
        <v>4</v>
      </c>
      <c r="E22" s="46" t="s">
        <v>1</v>
      </c>
      <c r="F22" s="46">
        <v>0</v>
      </c>
      <c r="G22" s="55" t="s">
        <v>127</v>
      </c>
      <c r="K22" s="8" t="str">
        <f t="shared" si="3"/>
        <v>Portugal</v>
      </c>
      <c r="L22" s="9">
        <f t="shared" si="4"/>
        <v>4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53">
        <v>46190</v>
      </c>
      <c r="B23" s="54">
        <v>0.70833333333333337</v>
      </c>
      <c r="C23" s="55" t="s">
        <v>18</v>
      </c>
      <c r="D23" s="46">
        <v>3</v>
      </c>
      <c r="E23" s="46" t="s">
        <v>1</v>
      </c>
      <c r="F23" s="46">
        <v>2</v>
      </c>
      <c r="G23" s="55" t="s">
        <v>10</v>
      </c>
      <c r="K23" s="8" t="str">
        <f t="shared" si="3"/>
        <v>Inglaterra</v>
      </c>
      <c r="L23" s="9">
        <f t="shared" si="4"/>
        <v>3</v>
      </c>
      <c r="M23" s="9">
        <f t="shared" si="5"/>
        <v>2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4</v>
      </c>
    </row>
    <row r="24" spans="1:21" x14ac:dyDescent="0.3">
      <c r="A24" s="53">
        <v>46190</v>
      </c>
      <c r="B24" s="54">
        <v>0.83333333333333337</v>
      </c>
      <c r="C24" s="55" t="s">
        <v>106</v>
      </c>
      <c r="D24" s="46">
        <v>3</v>
      </c>
      <c r="E24" s="46" t="s">
        <v>1</v>
      </c>
      <c r="F24" s="46">
        <v>1</v>
      </c>
      <c r="G24" s="55" t="s">
        <v>130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1" x14ac:dyDescent="0.3">
      <c r="A25" s="53">
        <v>46190</v>
      </c>
      <c r="B25" s="54">
        <v>0.95833333333333337</v>
      </c>
      <c r="C25" s="55" t="s">
        <v>128</v>
      </c>
      <c r="D25" s="46">
        <v>0</v>
      </c>
      <c r="E25" s="46" t="s">
        <v>1</v>
      </c>
      <c r="F25" s="46">
        <v>3</v>
      </c>
      <c r="G25" s="55" t="s">
        <v>129</v>
      </c>
      <c r="K25" s="8" t="str">
        <f t="shared" si="3"/>
        <v>Colômbia</v>
      </c>
      <c r="L25" s="9">
        <f t="shared" si="4"/>
        <v>3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6</v>
      </c>
    </row>
    <row r="26" spans="1:21" x14ac:dyDescent="0.3">
      <c r="A26" s="100">
        <v>46191</v>
      </c>
      <c r="B26" s="101">
        <v>0.54166666666666663</v>
      </c>
      <c r="C26" s="102" t="s">
        <v>111</v>
      </c>
      <c r="D26" s="103">
        <v>1</v>
      </c>
      <c r="E26" s="103" t="s">
        <v>1</v>
      </c>
      <c r="F26" s="103">
        <v>0</v>
      </c>
      <c r="G26" s="102" t="s">
        <v>88</v>
      </c>
      <c r="K26" s="8" t="str">
        <f t="shared" si="3"/>
        <v>República Tcheca</v>
      </c>
      <c r="L26" s="9">
        <f t="shared" si="4"/>
        <v>1</v>
      </c>
      <c r="M26" s="9">
        <f t="shared" si="5"/>
        <v>0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86"/>
      <c r="R26" s="48"/>
      <c r="S26" s="48"/>
      <c r="T26" s="48"/>
      <c r="U26" s="86"/>
    </row>
    <row r="27" spans="1:21" x14ac:dyDescent="0.3">
      <c r="A27" s="100">
        <v>46191</v>
      </c>
      <c r="B27" s="101">
        <v>0.66666666666666663</v>
      </c>
      <c r="C27" s="102" t="s">
        <v>72</v>
      </c>
      <c r="D27" s="103">
        <v>1</v>
      </c>
      <c r="E27" s="103" t="s">
        <v>1</v>
      </c>
      <c r="F27" s="103">
        <v>1</v>
      </c>
      <c r="G27" s="102" t="s">
        <v>112</v>
      </c>
      <c r="K27" s="8" t="str">
        <f t="shared" si="3"/>
        <v>EMPATE</v>
      </c>
      <c r="L27" s="9">
        <f t="shared" si="4"/>
        <v>1</v>
      </c>
      <c r="M27" s="9">
        <f t="shared" si="5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86"/>
      <c r="R27" s="48"/>
      <c r="S27" s="48"/>
      <c r="T27" s="48"/>
      <c r="U27" s="86"/>
    </row>
    <row r="28" spans="1:21" x14ac:dyDescent="0.3">
      <c r="A28" s="100">
        <v>46191</v>
      </c>
      <c r="B28" s="101">
        <v>0.79166666666666663</v>
      </c>
      <c r="C28" s="102" t="s">
        <v>105</v>
      </c>
      <c r="D28" s="103">
        <v>1</v>
      </c>
      <c r="E28" s="103" t="s">
        <v>1</v>
      </c>
      <c r="F28" s="103">
        <v>0</v>
      </c>
      <c r="G28" s="102" t="s">
        <v>97</v>
      </c>
      <c r="K28" s="8" t="str">
        <f t="shared" si="3"/>
        <v>Canadá</v>
      </c>
      <c r="L28" s="9">
        <f t="shared" si="4"/>
        <v>1</v>
      </c>
      <c r="M28" s="9">
        <f t="shared" si="5"/>
        <v>0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4</v>
      </c>
      <c r="Q28" s="86"/>
      <c r="R28" s="48"/>
      <c r="S28" s="48"/>
      <c r="T28" s="48"/>
      <c r="U28" s="86"/>
    </row>
    <row r="29" spans="1:21" x14ac:dyDescent="0.3">
      <c r="A29" s="100">
        <v>46191</v>
      </c>
      <c r="B29" s="101">
        <v>0.91666666666666663</v>
      </c>
      <c r="C29" s="102" t="s">
        <v>13</v>
      </c>
      <c r="D29" s="103">
        <v>2</v>
      </c>
      <c r="E29" s="103" t="s">
        <v>1</v>
      </c>
      <c r="F29" s="103">
        <v>2</v>
      </c>
      <c r="G29" s="102" t="s">
        <v>15</v>
      </c>
      <c r="K29" s="8" t="str">
        <f t="shared" si="3"/>
        <v>EMPATE</v>
      </c>
      <c r="L29" s="9">
        <f t="shared" si="4"/>
        <v>2</v>
      </c>
      <c r="M29" s="9">
        <f t="shared" si="5"/>
        <v>2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Q29" s="86"/>
      <c r="R29" s="48"/>
      <c r="S29" s="48"/>
      <c r="T29" s="48"/>
      <c r="U29" s="86"/>
    </row>
    <row r="30" spans="1:21" x14ac:dyDescent="0.3">
      <c r="A30" s="100">
        <v>46192</v>
      </c>
      <c r="B30" s="101">
        <v>0.66666666666666663</v>
      </c>
      <c r="C30" s="102" t="s">
        <v>104</v>
      </c>
      <c r="D30" s="103">
        <v>2</v>
      </c>
      <c r="E30" s="103" t="s">
        <v>1</v>
      </c>
      <c r="F30" s="103">
        <v>1</v>
      </c>
      <c r="G30" s="102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6</v>
      </c>
      <c r="Q30" s="86"/>
      <c r="R30" s="48"/>
      <c r="S30" s="48"/>
      <c r="T30" s="48"/>
      <c r="U30" s="86"/>
    </row>
    <row r="31" spans="1:21" x14ac:dyDescent="0.3">
      <c r="A31" s="100">
        <v>46192</v>
      </c>
      <c r="B31" s="101">
        <v>0.79166666666666663</v>
      </c>
      <c r="C31" s="102" t="s">
        <v>114</v>
      </c>
      <c r="D31" s="103">
        <v>0</v>
      </c>
      <c r="E31" s="103" t="s">
        <v>1</v>
      </c>
      <c r="F31" s="103">
        <v>2</v>
      </c>
      <c r="G31" s="102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0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4</v>
      </c>
      <c r="Q31" s="86"/>
      <c r="R31" s="48"/>
      <c r="S31" s="48"/>
      <c r="T31" s="48"/>
      <c r="U31" s="86"/>
    </row>
    <row r="32" spans="1:21" x14ac:dyDescent="0.3">
      <c r="A32" s="100">
        <v>46192</v>
      </c>
      <c r="B32" s="101">
        <v>0.89583333333333337</v>
      </c>
      <c r="C32" s="102" t="s">
        <v>11</v>
      </c>
      <c r="D32" s="103">
        <v>3</v>
      </c>
      <c r="E32" s="103" t="s">
        <v>1</v>
      </c>
      <c r="F32" s="103">
        <v>0</v>
      </c>
      <c r="G32" s="102" t="s">
        <v>113</v>
      </c>
      <c r="K32" s="8" t="str">
        <f t="shared" si="3"/>
        <v>Brasil</v>
      </c>
      <c r="L32" s="9">
        <f t="shared" si="4"/>
        <v>3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9</v>
      </c>
      <c r="Q32" s="86"/>
      <c r="R32" s="48"/>
      <c r="S32" s="48"/>
      <c r="T32" s="48"/>
      <c r="U32" s="86"/>
    </row>
    <row r="33" spans="1:21" x14ac:dyDescent="0.3">
      <c r="A33" s="100">
        <v>46193</v>
      </c>
      <c r="B33" s="101">
        <v>4.1666666666666664E-2</v>
      </c>
      <c r="C33" s="102" t="s">
        <v>116</v>
      </c>
      <c r="D33" s="103">
        <v>1</v>
      </c>
      <c r="E33" s="103" t="s">
        <v>1</v>
      </c>
      <c r="F33" s="103">
        <v>1</v>
      </c>
      <c r="G33" s="102" t="s">
        <v>115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86"/>
      <c r="R33" s="48"/>
      <c r="S33" s="48"/>
      <c r="T33" s="48"/>
      <c r="U33" s="86"/>
    </row>
    <row r="34" spans="1:21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3</v>
      </c>
      <c r="G34" s="102" t="s">
        <v>14</v>
      </c>
      <c r="K34" s="8" t="str">
        <f t="shared" si="3"/>
        <v>Suécia</v>
      </c>
      <c r="L34" s="9">
        <f t="shared" si="4"/>
        <v>3</v>
      </c>
      <c r="M34" s="9">
        <f t="shared" si="5"/>
        <v>2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  <c r="Q34" s="86"/>
      <c r="R34" s="48"/>
      <c r="S34" s="48"/>
      <c r="T34" s="48"/>
      <c r="U34" s="86"/>
    </row>
    <row r="35" spans="1:21" x14ac:dyDescent="0.3">
      <c r="A35" s="100">
        <v>46193</v>
      </c>
      <c r="B35" s="101">
        <v>0.70833333333333337</v>
      </c>
      <c r="C35" s="102" t="s">
        <v>12</v>
      </c>
      <c r="D35" s="103">
        <v>1</v>
      </c>
      <c r="E35" s="103" t="s">
        <v>1</v>
      </c>
      <c r="F35" s="103">
        <v>1</v>
      </c>
      <c r="G35" s="102" t="s">
        <v>118</v>
      </c>
      <c r="K35" s="8" t="str">
        <f t="shared" si="3"/>
        <v>EMPATE</v>
      </c>
      <c r="L35" s="9">
        <f t="shared" si="4"/>
        <v>1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0</v>
      </c>
      <c r="Q35" s="86"/>
      <c r="R35" s="48"/>
      <c r="S35" s="48"/>
      <c r="T35" s="48"/>
      <c r="U35" s="86"/>
    </row>
    <row r="36" spans="1:21" x14ac:dyDescent="0.3">
      <c r="A36" s="100">
        <v>46193</v>
      </c>
      <c r="B36" s="101">
        <v>0.875</v>
      </c>
      <c r="C36" s="102" t="s">
        <v>102</v>
      </c>
      <c r="D36" s="103">
        <v>2</v>
      </c>
      <c r="E36" s="103" t="s">
        <v>1</v>
      </c>
      <c r="F36" s="103">
        <v>0</v>
      </c>
      <c r="G36" s="102" t="s">
        <v>117</v>
      </c>
      <c r="K36" s="8" t="str">
        <f t="shared" si="3"/>
        <v>Equador</v>
      </c>
      <c r="L36" s="9">
        <f t="shared" si="4"/>
        <v>2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86"/>
      <c r="R36" s="48"/>
      <c r="S36" s="48"/>
      <c r="T36" s="48"/>
      <c r="U36" s="86"/>
    </row>
    <row r="37" spans="1:21" x14ac:dyDescent="0.3">
      <c r="A37" s="100">
        <v>46194</v>
      </c>
      <c r="B37" s="101">
        <v>4.1666666666666664E-2</v>
      </c>
      <c r="C37" s="102" t="s">
        <v>17</v>
      </c>
      <c r="D37" s="103">
        <v>0</v>
      </c>
      <c r="E37" s="103" t="s">
        <v>1</v>
      </c>
      <c r="F37" s="103">
        <v>2</v>
      </c>
      <c r="G37" s="102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0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4</v>
      </c>
      <c r="Q37" s="86"/>
      <c r="R37" s="48"/>
      <c r="S37" s="48"/>
      <c r="T37" s="48"/>
      <c r="U37" s="86"/>
    </row>
    <row r="38" spans="1:21" x14ac:dyDescent="0.3">
      <c r="A38" s="100">
        <v>46194</v>
      </c>
      <c r="B38" s="101">
        <v>0.54166666666666663</v>
      </c>
      <c r="C38" s="102" t="s">
        <v>6</v>
      </c>
      <c r="D38" s="103">
        <v>2</v>
      </c>
      <c r="E38" s="103" t="s">
        <v>1</v>
      </c>
      <c r="F38" s="103">
        <v>0</v>
      </c>
      <c r="G38" s="102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86"/>
      <c r="R38" s="48"/>
      <c r="S38" s="48"/>
      <c r="T38" s="48"/>
      <c r="U38" s="86"/>
    </row>
    <row r="39" spans="1:21" x14ac:dyDescent="0.3">
      <c r="A39" s="100">
        <v>46194</v>
      </c>
      <c r="B39" s="101">
        <v>0.66666666666666663</v>
      </c>
      <c r="C39" s="102" t="s">
        <v>16</v>
      </c>
      <c r="D39" s="103">
        <v>2</v>
      </c>
      <c r="E39" s="103" t="s">
        <v>1</v>
      </c>
      <c r="F39" s="103">
        <v>1</v>
      </c>
      <c r="G39" s="102" t="s">
        <v>103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86"/>
      <c r="R39" s="48"/>
      <c r="S39" s="48"/>
      <c r="T39" s="48"/>
      <c r="U39" s="86"/>
    </row>
    <row r="40" spans="1:21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0</v>
      </c>
      <c r="G40" s="102" t="s">
        <v>121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86"/>
      <c r="R40" s="48"/>
      <c r="S40" s="48"/>
      <c r="T40" s="48"/>
      <c r="U40" s="86"/>
    </row>
    <row r="41" spans="1:21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2</v>
      </c>
      <c r="G41" s="102" t="s">
        <v>119</v>
      </c>
      <c r="K41" s="8" t="str">
        <f t="shared" si="3"/>
        <v>Egito</v>
      </c>
      <c r="L41" s="9">
        <f t="shared" si="4"/>
        <v>2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4</v>
      </c>
      <c r="Q41" s="86"/>
      <c r="R41" s="48"/>
      <c r="S41" s="48"/>
      <c r="T41" s="48"/>
      <c r="U41" s="86"/>
    </row>
    <row r="42" spans="1:21" x14ac:dyDescent="0.3">
      <c r="A42" s="100">
        <v>46195</v>
      </c>
      <c r="B42" s="101">
        <v>0.58333333333333337</v>
      </c>
      <c r="C42" s="102" t="s">
        <v>9</v>
      </c>
      <c r="D42" s="103">
        <v>2</v>
      </c>
      <c r="E42" s="103" t="s">
        <v>1</v>
      </c>
      <c r="F42" s="103">
        <v>1</v>
      </c>
      <c r="G42" s="102" t="s">
        <v>125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86"/>
      <c r="R42" s="48"/>
      <c r="S42" s="48"/>
      <c r="T42" s="48"/>
      <c r="U42" s="86"/>
    </row>
    <row r="43" spans="1:21" x14ac:dyDescent="0.3">
      <c r="A43" s="100">
        <v>46195</v>
      </c>
      <c r="B43" s="101">
        <v>0.75</v>
      </c>
      <c r="C43" s="102" t="s">
        <v>7</v>
      </c>
      <c r="D43" s="103">
        <v>5</v>
      </c>
      <c r="E43" s="103" t="s">
        <v>1</v>
      </c>
      <c r="F43" s="103">
        <v>0</v>
      </c>
      <c r="G43" s="102" t="s">
        <v>122</v>
      </c>
      <c r="K43" s="8" t="str">
        <f t="shared" si="3"/>
        <v>França</v>
      </c>
      <c r="L43" s="9">
        <f t="shared" si="4"/>
        <v>5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4</v>
      </c>
      <c r="Q43" s="86"/>
      <c r="R43" s="48"/>
      <c r="S43" s="48"/>
      <c r="T43" s="48"/>
      <c r="U43" s="86"/>
    </row>
    <row r="44" spans="1:21" x14ac:dyDescent="0.3">
      <c r="A44" s="100">
        <v>46195</v>
      </c>
      <c r="B44" s="101">
        <v>0.875</v>
      </c>
      <c r="C44" s="102" t="s">
        <v>123</v>
      </c>
      <c r="D44" s="103">
        <v>2</v>
      </c>
      <c r="E44" s="103" t="s">
        <v>1</v>
      </c>
      <c r="F44" s="103">
        <v>2</v>
      </c>
      <c r="G44" s="102" t="s">
        <v>20</v>
      </c>
      <c r="K44" s="8" t="str">
        <f t="shared" si="3"/>
        <v>EMPATE</v>
      </c>
      <c r="L44" s="9">
        <f t="shared" si="4"/>
        <v>2</v>
      </c>
      <c r="M44" s="9">
        <f t="shared" si="5"/>
        <v>2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0</v>
      </c>
      <c r="Q44" s="86"/>
      <c r="R44" s="48"/>
      <c r="S44" s="48"/>
      <c r="T44" s="48"/>
      <c r="U44" s="86"/>
    </row>
    <row r="45" spans="1:21" x14ac:dyDescent="0.3">
      <c r="A45" s="100">
        <v>46196</v>
      </c>
      <c r="B45" s="101">
        <v>0</v>
      </c>
      <c r="C45" s="102" t="s">
        <v>126</v>
      </c>
      <c r="D45" s="103">
        <v>0</v>
      </c>
      <c r="E45" s="103" t="s">
        <v>1</v>
      </c>
      <c r="F45" s="103">
        <v>1</v>
      </c>
      <c r="G45" s="102" t="s">
        <v>124</v>
      </c>
      <c r="K45" s="8" t="str">
        <f t="shared" si="3"/>
        <v>Argélia</v>
      </c>
      <c r="L45" s="9">
        <f t="shared" si="4"/>
        <v>1</v>
      </c>
      <c r="M45" s="9">
        <f t="shared" si="5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3</v>
      </c>
      <c r="Q45" s="86"/>
      <c r="R45" s="48"/>
      <c r="S45" s="48"/>
      <c r="T45" s="48"/>
      <c r="U45" s="86"/>
    </row>
    <row r="46" spans="1:21" ht="15" customHeight="1" x14ac:dyDescent="0.3">
      <c r="A46" s="100">
        <v>46196</v>
      </c>
      <c r="B46" s="101">
        <v>0.58333333333333337</v>
      </c>
      <c r="C46" s="102" t="s">
        <v>5</v>
      </c>
      <c r="D46" s="103">
        <v>2</v>
      </c>
      <c r="E46" s="103" t="s">
        <v>1</v>
      </c>
      <c r="F46" s="103">
        <v>0</v>
      </c>
      <c r="G46" s="102" t="s">
        <v>128</v>
      </c>
      <c r="K46" s="8" t="str">
        <f t="shared" si="3"/>
        <v>Portugal</v>
      </c>
      <c r="L46" s="9">
        <f t="shared" si="4"/>
        <v>2</v>
      </c>
      <c r="M46" s="9">
        <f t="shared" si="5"/>
        <v>0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4</v>
      </c>
      <c r="Q46" s="86"/>
      <c r="R46" s="48"/>
      <c r="S46" s="48"/>
      <c r="T46" s="48"/>
      <c r="U46" s="86"/>
    </row>
    <row r="47" spans="1:21" x14ac:dyDescent="0.3">
      <c r="A47" s="100">
        <v>46196</v>
      </c>
      <c r="B47" s="101">
        <v>0.70833333333333337</v>
      </c>
      <c r="C47" s="102" t="s">
        <v>18</v>
      </c>
      <c r="D47" s="103">
        <v>2</v>
      </c>
      <c r="E47" s="103" t="s">
        <v>1</v>
      </c>
      <c r="F47" s="103">
        <v>1</v>
      </c>
      <c r="G47" s="102" t="s">
        <v>106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  <c r="Q47" s="86"/>
      <c r="R47" s="48"/>
      <c r="S47" s="48"/>
      <c r="T47" s="48"/>
      <c r="U47" s="86"/>
    </row>
    <row r="48" spans="1:21" x14ac:dyDescent="0.3">
      <c r="A48" s="100">
        <v>46196</v>
      </c>
      <c r="B48" s="101">
        <v>0.83333333333333337</v>
      </c>
      <c r="C48" s="102" t="s">
        <v>130</v>
      </c>
      <c r="D48" s="103">
        <v>0</v>
      </c>
      <c r="E48" s="103" t="s">
        <v>1</v>
      </c>
      <c r="F48" s="103">
        <v>2</v>
      </c>
      <c r="G48" s="102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4</v>
      </c>
      <c r="Q48" s="86"/>
      <c r="R48" s="48"/>
      <c r="S48" s="48"/>
      <c r="T48" s="48"/>
      <c r="U48" s="86"/>
    </row>
    <row r="49" spans="1:21" x14ac:dyDescent="0.3">
      <c r="A49" s="104">
        <v>46196</v>
      </c>
      <c r="B49" s="101">
        <v>0.95833333333333337</v>
      </c>
      <c r="C49" s="105" t="s">
        <v>129</v>
      </c>
      <c r="D49" s="106">
        <v>3</v>
      </c>
      <c r="E49" s="106" t="s">
        <v>1</v>
      </c>
      <c r="F49" s="106">
        <v>0</v>
      </c>
      <c r="G49" s="105" t="s">
        <v>127</v>
      </c>
      <c r="K49" s="8" t="str">
        <f t="shared" si="3"/>
        <v>Colômbia</v>
      </c>
      <c r="L49" s="9">
        <f t="shared" si="4"/>
        <v>3</v>
      </c>
      <c r="M49" s="9">
        <f t="shared" si="5"/>
        <v>0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4</v>
      </c>
      <c r="Q49" s="86"/>
      <c r="R49" s="48"/>
      <c r="S49" s="48"/>
      <c r="T49" s="48"/>
      <c r="U49" s="86"/>
    </row>
    <row r="50" spans="1:21" x14ac:dyDescent="0.3">
      <c r="A50" s="56">
        <v>46197</v>
      </c>
      <c r="B50" s="54">
        <v>0.66666666666666663</v>
      </c>
      <c r="C50" s="57" t="s">
        <v>72</v>
      </c>
      <c r="D50" s="58">
        <v>2</v>
      </c>
      <c r="E50" s="58" t="s">
        <v>1</v>
      </c>
      <c r="F50" s="58">
        <v>2</v>
      </c>
      <c r="G50" s="57" t="s">
        <v>105</v>
      </c>
      <c r="K50" s="8" t="str">
        <f t="shared" si="3"/>
        <v>EMPATE</v>
      </c>
      <c r="L50" s="9">
        <f t="shared" si="4"/>
        <v>2</v>
      </c>
      <c r="M50" s="9">
        <f t="shared" si="5"/>
        <v>2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0</v>
      </c>
      <c r="Q50" s="86"/>
      <c r="R50" s="48"/>
      <c r="S50" s="48"/>
      <c r="T50" s="48"/>
      <c r="U50" s="86"/>
    </row>
    <row r="51" spans="1:21" x14ac:dyDescent="0.3">
      <c r="A51" s="56">
        <v>46197</v>
      </c>
      <c r="B51" s="54">
        <v>0.66666666666666663</v>
      </c>
      <c r="C51" s="57" t="s">
        <v>112</v>
      </c>
      <c r="D51" s="58">
        <v>2</v>
      </c>
      <c r="E51" s="58" t="s">
        <v>1</v>
      </c>
      <c r="F51" s="58">
        <v>0</v>
      </c>
      <c r="G51" s="57" t="s">
        <v>97</v>
      </c>
      <c r="K51" s="8" t="str">
        <f t="shared" si="3"/>
        <v>Bósnia</v>
      </c>
      <c r="L51" s="9">
        <f t="shared" si="4"/>
        <v>2</v>
      </c>
      <c r="M51" s="9">
        <f t="shared" si="5"/>
        <v>0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3</v>
      </c>
      <c r="Q51" s="86"/>
      <c r="R51" s="48"/>
      <c r="S51" s="48"/>
      <c r="T51" s="48"/>
      <c r="U51" s="86"/>
    </row>
    <row r="52" spans="1:21" x14ac:dyDescent="0.3">
      <c r="A52" s="56">
        <v>46197</v>
      </c>
      <c r="B52" s="54">
        <v>0.79166666666666663</v>
      </c>
      <c r="C52" s="59" t="s">
        <v>4</v>
      </c>
      <c r="D52" s="58">
        <v>3</v>
      </c>
      <c r="E52" s="58" t="s">
        <v>1</v>
      </c>
      <c r="F52" s="58">
        <v>0</v>
      </c>
      <c r="G52" s="59" t="s">
        <v>113</v>
      </c>
      <c r="K52" s="8" t="str">
        <f t="shared" si="3"/>
        <v>Marrocos</v>
      </c>
      <c r="L52" s="9">
        <f t="shared" si="4"/>
        <v>3</v>
      </c>
      <c r="M52" s="9">
        <f t="shared" si="5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</row>
    <row r="53" spans="1:21" x14ac:dyDescent="0.3">
      <c r="A53" s="56">
        <v>46197</v>
      </c>
      <c r="B53" s="54">
        <v>0.79166666666666663</v>
      </c>
      <c r="C53" s="59" t="s">
        <v>114</v>
      </c>
      <c r="D53" s="58">
        <v>1</v>
      </c>
      <c r="E53" s="58" t="s">
        <v>1</v>
      </c>
      <c r="F53" s="58">
        <v>2</v>
      </c>
      <c r="G53" s="59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1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3</v>
      </c>
      <c r="Q53" s="117"/>
      <c r="R53" s="48"/>
      <c r="S53" s="48"/>
      <c r="T53" s="48"/>
      <c r="U53" s="117"/>
    </row>
    <row r="54" spans="1:21" x14ac:dyDescent="0.3">
      <c r="A54" s="53">
        <v>46197</v>
      </c>
      <c r="B54" s="54">
        <v>0.91666666666666663</v>
      </c>
      <c r="C54" s="55" t="s">
        <v>88</v>
      </c>
      <c r="D54" s="46">
        <v>0</v>
      </c>
      <c r="E54" s="46" t="s">
        <v>1</v>
      </c>
      <c r="F54" s="46">
        <v>1</v>
      </c>
      <c r="G54" s="55" t="s">
        <v>15</v>
      </c>
      <c r="K54" s="8" t="str">
        <f t="shared" si="3"/>
        <v>Coréia do Sul</v>
      </c>
      <c r="L54" s="9">
        <f t="shared" si="4"/>
        <v>1</v>
      </c>
      <c r="M54" s="9">
        <f t="shared" si="5"/>
        <v>0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</row>
    <row r="55" spans="1:21" x14ac:dyDescent="0.3">
      <c r="A55" s="53">
        <v>46197</v>
      </c>
      <c r="B55" s="54">
        <v>0.91666666666666663</v>
      </c>
      <c r="C55" s="55" t="s">
        <v>111</v>
      </c>
      <c r="D55" s="46">
        <v>0</v>
      </c>
      <c r="E55" s="46" t="s">
        <v>1</v>
      </c>
      <c r="F55" s="46">
        <v>1</v>
      </c>
      <c r="G55" s="55" t="s">
        <v>13</v>
      </c>
      <c r="K55" s="8" t="str">
        <f t="shared" si="3"/>
        <v>México</v>
      </c>
      <c r="L55" s="9">
        <f t="shared" si="4"/>
        <v>1</v>
      </c>
      <c r="M55" s="9">
        <f t="shared" si="5"/>
        <v>0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4</v>
      </c>
      <c r="Q55" s="86"/>
      <c r="R55" s="48"/>
      <c r="S55" s="48"/>
      <c r="T55" s="48"/>
      <c r="U55" s="86"/>
    </row>
    <row r="56" spans="1:21" x14ac:dyDescent="0.3">
      <c r="A56" s="53">
        <v>46198</v>
      </c>
      <c r="B56" s="54">
        <v>0.70833333333333337</v>
      </c>
      <c r="C56" s="45" t="s">
        <v>102</v>
      </c>
      <c r="D56" s="46">
        <v>1</v>
      </c>
      <c r="E56" s="46" t="s">
        <v>1</v>
      </c>
      <c r="F56" s="46">
        <v>3</v>
      </c>
      <c r="G56" s="45" t="s">
        <v>12</v>
      </c>
      <c r="K56" s="8" t="str">
        <f t="shared" si="3"/>
        <v>Alemanha</v>
      </c>
      <c r="L56" s="9">
        <f t="shared" si="4"/>
        <v>3</v>
      </c>
      <c r="M56" s="9">
        <f t="shared" si="5"/>
        <v>1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</row>
    <row r="57" spans="1:21" x14ac:dyDescent="0.3">
      <c r="A57" s="53">
        <v>46198</v>
      </c>
      <c r="B57" s="54">
        <v>0.70833333333333337</v>
      </c>
      <c r="C57" s="45" t="s">
        <v>117</v>
      </c>
      <c r="D57" s="46">
        <v>0</v>
      </c>
      <c r="E57" s="46" t="s">
        <v>1</v>
      </c>
      <c r="F57" s="46">
        <v>4</v>
      </c>
      <c r="G57" s="45" t="s">
        <v>118</v>
      </c>
      <c r="K57" s="8" t="str">
        <f t="shared" si="3"/>
        <v>Costa do Marfim</v>
      </c>
      <c r="L57" s="9">
        <f t="shared" si="4"/>
        <v>4</v>
      </c>
      <c r="M57" s="9">
        <f t="shared" si="5"/>
        <v>0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4</v>
      </c>
      <c r="Q57" s="117"/>
      <c r="R57" s="48"/>
      <c r="S57" s="48"/>
      <c r="T57" s="48"/>
      <c r="U57" s="117"/>
    </row>
    <row r="58" spans="1:21" x14ac:dyDescent="0.3">
      <c r="A58" s="53">
        <v>46198</v>
      </c>
      <c r="B58" s="54">
        <v>0.83333333333333337</v>
      </c>
      <c r="C58" s="45" t="s">
        <v>17</v>
      </c>
      <c r="D58" s="46">
        <v>0</v>
      </c>
      <c r="E58" s="46" t="s">
        <v>1</v>
      </c>
      <c r="F58" s="46">
        <v>4</v>
      </c>
      <c r="G58" s="45" t="s">
        <v>78</v>
      </c>
      <c r="K58" s="8" t="str">
        <f t="shared" si="3"/>
        <v>Holanda</v>
      </c>
      <c r="L58" s="9">
        <f t="shared" si="4"/>
        <v>4</v>
      </c>
      <c r="M58" s="9">
        <f t="shared" si="5"/>
        <v>0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3</v>
      </c>
      <c r="Q58" s="117"/>
      <c r="R58" s="48"/>
      <c r="S58" s="48"/>
      <c r="T58" s="48"/>
      <c r="U58" s="117"/>
    </row>
    <row r="59" spans="1:21" x14ac:dyDescent="0.3">
      <c r="A59" s="53">
        <v>46198</v>
      </c>
      <c r="B59" s="54">
        <v>0.83333333333333337</v>
      </c>
      <c r="C59" s="45" t="s">
        <v>19</v>
      </c>
      <c r="D59" s="46">
        <v>2</v>
      </c>
      <c r="E59" s="46" t="s">
        <v>1</v>
      </c>
      <c r="F59" s="46">
        <v>2</v>
      </c>
      <c r="G59" s="45" t="s">
        <v>14</v>
      </c>
      <c r="K59" s="8" t="str">
        <f t="shared" si="3"/>
        <v>EMPATE</v>
      </c>
      <c r="L59" s="9">
        <f t="shared" si="4"/>
        <v>2</v>
      </c>
      <c r="M59" s="9">
        <f t="shared" si="5"/>
        <v>2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6</v>
      </c>
      <c r="Q59" s="117"/>
      <c r="R59" s="48"/>
      <c r="S59" s="48"/>
      <c r="T59" s="48"/>
      <c r="U59" s="117"/>
    </row>
    <row r="60" spans="1:21" x14ac:dyDescent="0.3">
      <c r="A60" s="53">
        <v>46198</v>
      </c>
      <c r="B60" s="54">
        <v>0.95833333333333337</v>
      </c>
      <c r="C60" s="45" t="s">
        <v>116</v>
      </c>
      <c r="D60" s="46">
        <v>1</v>
      </c>
      <c r="E60" s="46" t="s">
        <v>1</v>
      </c>
      <c r="F60" s="46">
        <v>2</v>
      </c>
      <c r="G60" s="45" t="s">
        <v>104</v>
      </c>
      <c r="K60" s="8" t="str">
        <f t="shared" si="3"/>
        <v>Estados Unidos</v>
      </c>
      <c r="L60" s="9">
        <f t="shared" si="4"/>
        <v>2</v>
      </c>
      <c r="M60" s="9">
        <f t="shared" si="5"/>
        <v>1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</row>
    <row r="61" spans="1:21" x14ac:dyDescent="0.3">
      <c r="A61" s="53">
        <v>46198</v>
      </c>
      <c r="B61" s="54">
        <v>0.95833333333333337</v>
      </c>
      <c r="C61" s="45" t="s">
        <v>115</v>
      </c>
      <c r="D61" s="46">
        <v>1</v>
      </c>
      <c r="E61" s="46" t="s">
        <v>1</v>
      </c>
      <c r="F61" s="46">
        <v>1</v>
      </c>
      <c r="G61" s="45" t="s">
        <v>8</v>
      </c>
      <c r="K61" s="8" t="str">
        <f t="shared" si="3"/>
        <v>EMPATE</v>
      </c>
      <c r="L61" s="9">
        <f t="shared" si="4"/>
        <v>1</v>
      </c>
      <c r="M61" s="9">
        <f t="shared" si="5"/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6</v>
      </c>
      <c r="Q61" s="117"/>
      <c r="R61" s="48"/>
      <c r="S61" s="48"/>
      <c r="T61" s="48"/>
      <c r="U61" s="117"/>
    </row>
    <row r="62" spans="1:21" x14ac:dyDescent="0.3">
      <c r="A62" s="53">
        <v>46199</v>
      </c>
      <c r="B62" s="54">
        <v>0.66666666666666663</v>
      </c>
      <c r="C62" s="45" t="s">
        <v>20</v>
      </c>
      <c r="D62" s="46">
        <v>2</v>
      </c>
      <c r="E62" s="46" t="s">
        <v>1</v>
      </c>
      <c r="F62" s="46">
        <v>0</v>
      </c>
      <c r="G62" s="45" t="s">
        <v>122</v>
      </c>
      <c r="K62" s="8" t="str">
        <f t="shared" si="3"/>
        <v>Senegal</v>
      </c>
      <c r="L62" s="9">
        <f t="shared" si="4"/>
        <v>2</v>
      </c>
      <c r="M62" s="9">
        <f t="shared" si="5"/>
        <v>0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4</v>
      </c>
      <c r="Q62" s="117"/>
      <c r="R62" s="48"/>
      <c r="S62" s="48"/>
      <c r="T62" s="48"/>
      <c r="U62" s="117"/>
    </row>
    <row r="63" spans="1:21" x14ac:dyDescent="0.3">
      <c r="A63" s="53">
        <v>46199</v>
      </c>
      <c r="B63" s="54">
        <v>0.66666666666666663</v>
      </c>
      <c r="C63" s="45" t="s">
        <v>123</v>
      </c>
      <c r="D63" s="46">
        <v>2</v>
      </c>
      <c r="E63" s="46" t="s">
        <v>1</v>
      </c>
      <c r="F63" s="46">
        <v>4</v>
      </c>
      <c r="G63" s="45" t="s">
        <v>7</v>
      </c>
      <c r="K63" s="8" t="str">
        <f t="shared" si="3"/>
        <v>França</v>
      </c>
      <c r="L63" s="9">
        <f t="shared" si="4"/>
        <v>4</v>
      </c>
      <c r="M63" s="9">
        <f t="shared" si="5"/>
        <v>2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6</v>
      </c>
      <c r="Q63" s="117"/>
      <c r="R63" s="48"/>
      <c r="S63" s="48"/>
      <c r="T63" s="48"/>
      <c r="U63" s="117"/>
    </row>
    <row r="64" spans="1:21" x14ac:dyDescent="0.3">
      <c r="A64" s="53">
        <v>46199</v>
      </c>
      <c r="B64" s="54">
        <v>0.875</v>
      </c>
      <c r="C64" s="45" t="s">
        <v>121</v>
      </c>
      <c r="D64" s="46">
        <v>1</v>
      </c>
      <c r="E64" s="46" t="s">
        <v>1</v>
      </c>
      <c r="F64" s="46">
        <v>1</v>
      </c>
      <c r="G64" s="45" t="s">
        <v>2</v>
      </c>
      <c r="K64" s="8" t="str">
        <f t="shared" si="3"/>
        <v>EMPATE</v>
      </c>
      <c r="L64" s="9">
        <f t="shared" si="4"/>
        <v>1</v>
      </c>
      <c r="M64" s="9">
        <f t="shared" si="5"/>
        <v>1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6</v>
      </c>
      <c r="Q64" s="117"/>
      <c r="R64" s="48"/>
      <c r="S64" s="48"/>
      <c r="T64" s="48"/>
      <c r="U64" s="117"/>
    </row>
    <row r="65" spans="1:28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1</v>
      </c>
      <c r="G65" s="45" t="s">
        <v>6</v>
      </c>
      <c r="K65" s="8" t="str">
        <f t="shared" si="3"/>
        <v>EMPATE</v>
      </c>
      <c r="L65" s="9">
        <f t="shared" si="4"/>
        <v>1</v>
      </c>
      <c r="M65" s="9">
        <f t="shared" si="5"/>
        <v>1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0</v>
      </c>
      <c r="Q65" s="117"/>
      <c r="R65" s="48"/>
      <c r="S65" s="48"/>
      <c r="T65" s="48"/>
      <c r="U65" s="117"/>
    </row>
    <row r="66" spans="1:28" x14ac:dyDescent="0.3">
      <c r="A66" s="53">
        <v>46200</v>
      </c>
      <c r="B66" s="54">
        <v>0</v>
      </c>
      <c r="C66" s="45" t="s">
        <v>119</v>
      </c>
      <c r="D66" s="46">
        <v>2</v>
      </c>
      <c r="E66" s="46" t="s">
        <v>1</v>
      </c>
      <c r="F66" s="46">
        <v>1</v>
      </c>
      <c r="G66" s="45" t="s">
        <v>103</v>
      </c>
      <c r="K66" s="8" t="str">
        <f t="shared" si="3"/>
        <v>Egito</v>
      </c>
      <c r="L66" s="9">
        <f t="shared" si="4"/>
        <v>2</v>
      </c>
      <c r="M66" s="9">
        <f t="shared" si="5"/>
        <v>1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0</v>
      </c>
      <c r="Q66" s="117"/>
      <c r="R66" s="48"/>
      <c r="S66" s="48"/>
      <c r="T66" s="48"/>
      <c r="U66" s="117"/>
    </row>
    <row r="67" spans="1:28" x14ac:dyDescent="0.3">
      <c r="A67" s="53">
        <v>46200</v>
      </c>
      <c r="B67" s="54">
        <v>0</v>
      </c>
      <c r="C67" s="45" t="s">
        <v>120</v>
      </c>
      <c r="D67" s="46">
        <v>0</v>
      </c>
      <c r="E67" s="46" t="s">
        <v>1</v>
      </c>
      <c r="F67" s="46">
        <v>2</v>
      </c>
      <c r="G67" s="45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0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3</v>
      </c>
      <c r="Q67" s="117"/>
      <c r="R67" s="48"/>
      <c r="S67" s="48"/>
      <c r="T67" s="48"/>
      <c r="U67" s="117"/>
    </row>
    <row r="68" spans="1:28" x14ac:dyDescent="0.3">
      <c r="A68" s="53">
        <v>46200</v>
      </c>
      <c r="B68" s="54">
        <v>0.75</v>
      </c>
      <c r="C68" s="45" t="s">
        <v>10</v>
      </c>
      <c r="D68" s="46">
        <v>1</v>
      </c>
      <c r="E68" s="46" t="s">
        <v>1</v>
      </c>
      <c r="F68" s="46">
        <v>0</v>
      </c>
      <c r="G68" s="45" t="s">
        <v>106</v>
      </c>
      <c r="K68" s="8" t="str">
        <f t="shared" ref="K68:K105" si="7">IF(D68="","",IF(D68&gt;F68,C68,IF(F68&gt;D68,G68,"EMPATE")))</f>
        <v>Croácia</v>
      </c>
      <c r="L68" s="9">
        <f t="shared" ref="L68:L105" si="8">IF(D68="","",IF(D68&gt;F68,D68,IF(F68&gt;D68,F68,D68)))</f>
        <v>1</v>
      </c>
      <c r="M68" s="9">
        <f t="shared" ref="M68:M105" si="9">IF(D68="","",IF(D68&lt;F68,D68,IF(F68&lt;D68,F68,D68)))</f>
        <v>0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3</v>
      </c>
      <c r="Q68" s="117"/>
      <c r="R68" s="48"/>
      <c r="S68" s="48"/>
      <c r="T68" s="48"/>
      <c r="U68" s="117"/>
    </row>
    <row r="69" spans="1:28" x14ac:dyDescent="0.3">
      <c r="A69" s="53">
        <v>46200</v>
      </c>
      <c r="B69" s="54">
        <v>0.75</v>
      </c>
      <c r="C69" s="45" t="s">
        <v>130</v>
      </c>
      <c r="D69" s="46">
        <v>0</v>
      </c>
      <c r="E69" s="46" t="s">
        <v>1</v>
      </c>
      <c r="F69" s="46">
        <v>5</v>
      </c>
      <c r="G69" s="45" t="s">
        <v>18</v>
      </c>
      <c r="K69" s="8" t="str">
        <f t="shared" si="7"/>
        <v>Inglaterra</v>
      </c>
      <c r="L69" s="9">
        <f t="shared" si="8"/>
        <v>5</v>
      </c>
      <c r="M69" s="9">
        <f t="shared" si="9"/>
        <v>0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4</v>
      </c>
      <c r="Q69" s="117"/>
      <c r="R69" s="48"/>
      <c r="S69" s="48"/>
      <c r="T69" s="48"/>
      <c r="U69" s="117"/>
    </row>
    <row r="70" spans="1:28" x14ac:dyDescent="0.3">
      <c r="A70" s="53">
        <v>46200</v>
      </c>
      <c r="B70" s="54">
        <v>0.85416666666666663</v>
      </c>
      <c r="C70" s="45" t="s">
        <v>127</v>
      </c>
      <c r="D70" s="46">
        <v>1</v>
      </c>
      <c r="E70" s="46" t="s">
        <v>1</v>
      </c>
      <c r="F70" s="46">
        <v>1</v>
      </c>
      <c r="G70" s="45" t="s">
        <v>128</v>
      </c>
      <c r="K70" s="8" t="str">
        <f t="shared" si="7"/>
        <v>EMPATE</v>
      </c>
      <c r="L70" s="9">
        <f t="shared" si="8"/>
        <v>1</v>
      </c>
      <c r="M70" s="9">
        <f t="shared" si="9"/>
        <v>1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0</v>
      </c>
      <c r="Q70" s="117"/>
      <c r="R70" s="48"/>
      <c r="S70" s="48"/>
      <c r="T70" s="48"/>
      <c r="U70" s="117"/>
    </row>
    <row r="71" spans="1:28" x14ac:dyDescent="0.3">
      <c r="A71" s="53">
        <v>46200</v>
      </c>
      <c r="B71" s="54">
        <v>0.85416666666666663</v>
      </c>
      <c r="C71" s="45" t="s">
        <v>129</v>
      </c>
      <c r="D71" s="46">
        <v>1</v>
      </c>
      <c r="E71" s="46" t="s">
        <v>1</v>
      </c>
      <c r="F71" s="46">
        <v>1</v>
      </c>
      <c r="G71" s="45" t="s">
        <v>5</v>
      </c>
      <c r="K71" s="8" t="str">
        <f t="shared" si="7"/>
        <v>EMPATE</v>
      </c>
      <c r="L71" s="9">
        <f t="shared" si="8"/>
        <v>1</v>
      </c>
      <c r="M71" s="9">
        <f t="shared" si="9"/>
        <v>1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6</v>
      </c>
      <c r="Q71" s="117"/>
      <c r="R71" s="48"/>
      <c r="S71" s="48"/>
      <c r="T71" s="48"/>
      <c r="U71" s="117"/>
    </row>
    <row r="72" spans="1:28" x14ac:dyDescent="0.3">
      <c r="A72" s="53">
        <v>46200</v>
      </c>
      <c r="B72" s="54">
        <v>0.95833333333333337</v>
      </c>
      <c r="C72" s="45" t="s">
        <v>126</v>
      </c>
      <c r="D72" s="46">
        <v>0</v>
      </c>
      <c r="E72" s="46" t="s">
        <v>1</v>
      </c>
      <c r="F72" s="46">
        <v>2</v>
      </c>
      <c r="G72" s="45" t="s">
        <v>9</v>
      </c>
      <c r="K72" s="8" t="str">
        <f t="shared" si="7"/>
        <v>Argentina</v>
      </c>
      <c r="L72" s="9">
        <f t="shared" si="8"/>
        <v>2</v>
      </c>
      <c r="M72" s="9">
        <f t="shared" si="9"/>
        <v>0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3</v>
      </c>
      <c r="Q72" s="117"/>
      <c r="R72" s="48"/>
      <c r="S72" s="48"/>
      <c r="T72" s="48"/>
      <c r="U72" s="117"/>
    </row>
    <row r="73" spans="1:28" x14ac:dyDescent="0.3">
      <c r="A73" s="53">
        <v>46200</v>
      </c>
      <c r="B73" s="54">
        <v>0.95833333333333337</v>
      </c>
      <c r="C73" s="45" t="s">
        <v>124</v>
      </c>
      <c r="D73" s="46">
        <v>0</v>
      </c>
      <c r="E73" s="46" t="s">
        <v>1</v>
      </c>
      <c r="F73" s="46">
        <v>1</v>
      </c>
      <c r="G73" s="45" t="s">
        <v>125</v>
      </c>
      <c r="K73" s="8" t="str">
        <f t="shared" si="7"/>
        <v>Áustria</v>
      </c>
      <c r="L73" s="9">
        <f t="shared" si="8"/>
        <v>1</v>
      </c>
      <c r="M73" s="9">
        <f t="shared" si="9"/>
        <v>0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0</v>
      </c>
      <c r="Q73" s="117"/>
      <c r="R73" s="48"/>
      <c r="S73" s="48"/>
      <c r="T73" s="48"/>
      <c r="U73" s="117"/>
    </row>
    <row r="74" spans="1:28" x14ac:dyDescent="0.3">
      <c r="A74" s="60">
        <v>46201</v>
      </c>
      <c r="B74" s="61">
        <v>0.66666666666666663</v>
      </c>
      <c r="C74" s="62" t="s">
        <v>88</v>
      </c>
      <c r="D74" s="63">
        <v>1</v>
      </c>
      <c r="E74" s="63" t="s">
        <v>1</v>
      </c>
      <c r="F74" s="63">
        <v>3</v>
      </c>
      <c r="G74" s="62" t="s">
        <v>105</v>
      </c>
      <c r="K74" s="8" t="str">
        <f t="shared" si="7"/>
        <v>Canadá</v>
      </c>
      <c r="L74" s="9">
        <f t="shared" si="8"/>
        <v>3</v>
      </c>
      <c r="M74" s="9">
        <f t="shared" si="9"/>
        <v>1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60">
        <v>46201</v>
      </c>
      <c r="R74" s="61">
        <v>0.66666666666666663</v>
      </c>
      <c r="S74" s="62" t="s">
        <v>88</v>
      </c>
      <c r="T74" s="63">
        <v>1</v>
      </c>
      <c r="U74" s="63" t="s">
        <v>1</v>
      </c>
      <c r="V74" s="63">
        <v>3</v>
      </c>
      <c r="W74" s="62" t="s">
        <v>105</v>
      </c>
      <c r="X74" t="b">
        <f>S74=C74</f>
        <v>1</v>
      </c>
      <c r="AB74" t="b">
        <f>W74=G74</f>
        <v>1</v>
      </c>
    </row>
    <row r="75" spans="1:28" x14ac:dyDescent="0.3">
      <c r="A75" s="60">
        <v>46202</v>
      </c>
      <c r="B75" s="61">
        <v>0.58333333333333337</v>
      </c>
      <c r="C75" s="62" t="s">
        <v>11</v>
      </c>
      <c r="D75" s="63">
        <v>2</v>
      </c>
      <c r="E75" s="63" t="s">
        <v>1</v>
      </c>
      <c r="F75" s="63">
        <v>1</v>
      </c>
      <c r="G75" s="62" t="s">
        <v>19</v>
      </c>
      <c r="K75" s="8" t="str">
        <f t="shared" si="7"/>
        <v>Brasil</v>
      </c>
      <c r="L75" s="9">
        <f t="shared" si="8"/>
        <v>2</v>
      </c>
      <c r="M75" s="9">
        <f t="shared" si="9"/>
        <v>1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60">
        <v>46202</v>
      </c>
      <c r="R75" s="61">
        <v>0.58333333333333337</v>
      </c>
      <c r="S75" s="62" t="s">
        <v>11</v>
      </c>
      <c r="T75" s="63">
        <v>2</v>
      </c>
      <c r="U75" s="63" t="s">
        <v>1</v>
      </c>
      <c r="V75" s="63">
        <v>1</v>
      </c>
      <c r="W75" s="62" t="s">
        <v>19</v>
      </c>
      <c r="X75" t="b">
        <f t="shared" ref="X75:X89" si="10">S75=C75</f>
        <v>1</v>
      </c>
      <c r="AB75" t="b">
        <f t="shared" ref="AB75:AB89" si="11">W75=G75</f>
        <v>1</v>
      </c>
    </row>
    <row r="76" spans="1:28" x14ac:dyDescent="0.3">
      <c r="A76" s="60">
        <v>46202</v>
      </c>
      <c r="B76" s="61">
        <v>0.72916666666666663</v>
      </c>
      <c r="C76" s="62" t="s">
        <v>12</v>
      </c>
      <c r="D76" s="63">
        <v>2</v>
      </c>
      <c r="E76" s="63" t="s">
        <v>1</v>
      </c>
      <c r="F76" s="63">
        <v>0</v>
      </c>
      <c r="G76" s="62" t="s">
        <v>115</v>
      </c>
      <c r="K76" s="8" t="str">
        <f t="shared" si="7"/>
        <v>Alemanha</v>
      </c>
      <c r="L76" s="9">
        <f t="shared" si="8"/>
        <v>2</v>
      </c>
      <c r="M76" s="9">
        <f t="shared" si="9"/>
        <v>0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60">
        <v>46202</v>
      </c>
      <c r="R76" s="61">
        <v>0.72916666666666663</v>
      </c>
      <c r="S76" s="62" t="s">
        <v>12</v>
      </c>
      <c r="T76" s="63">
        <v>2</v>
      </c>
      <c r="U76" s="63" t="s">
        <v>1</v>
      </c>
      <c r="V76" s="63">
        <v>0</v>
      </c>
      <c r="W76" s="62" t="s">
        <v>115</v>
      </c>
      <c r="X76" t="b">
        <f t="shared" si="10"/>
        <v>1</v>
      </c>
      <c r="AB76" t="b">
        <f t="shared" si="11"/>
        <v>1</v>
      </c>
    </row>
    <row r="77" spans="1:28" x14ac:dyDescent="0.3">
      <c r="A77" s="60">
        <v>46202</v>
      </c>
      <c r="B77" s="61">
        <v>0.91666666666666663</v>
      </c>
      <c r="C77" s="62" t="s">
        <v>78</v>
      </c>
      <c r="D77" s="63">
        <v>3</v>
      </c>
      <c r="E77" s="63" t="s">
        <v>1</v>
      </c>
      <c r="F77" s="63">
        <v>3</v>
      </c>
      <c r="G77" s="62" t="s">
        <v>4</v>
      </c>
      <c r="K77" s="8" t="str">
        <f t="shared" si="7"/>
        <v>EMPATE</v>
      </c>
      <c r="L77" s="9">
        <f t="shared" si="8"/>
        <v>3</v>
      </c>
      <c r="M77" s="9">
        <f t="shared" si="9"/>
        <v>3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60">
        <v>46202</v>
      </c>
      <c r="R77" s="61">
        <v>0.91666666666666663</v>
      </c>
      <c r="S77" s="62" t="s">
        <v>78</v>
      </c>
      <c r="T77" s="63">
        <v>3</v>
      </c>
      <c r="U77" s="63" t="s">
        <v>1</v>
      </c>
      <c r="V77" s="63">
        <v>3</v>
      </c>
      <c r="W77" s="62" t="s">
        <v>4</v>
      </c>
      <c r="X77" t="b">
        <f t="shared" si="10"/>
        <v>1</v>
      </c>
      <c r="AB77" t="b">
        <f t="shared" si="11"/>
        <v>1</v>
      </c>
    </row>
    <row r="78" spans="1:28" x14ac:dyDescent="0.3">
      <c r="A78" s="60">
        <v>46203</v>
      </c>
      <c r="B78" s="61">
        <v>0.58333333333333337</v>
      </c>
      <c r="C78" s="62" t="s">
        <v>118</v>
      </c>
      <c r="D78" s="63">
        <v>2</v>
      </c>
      <c r="E78" s="63" t="s">
        <v>1</v>
      </c>
      <c r="F78" s="63">
        <v>3</v>
      </c>
      <c r="G78" s="62" t="s">
        <v>123</v>
      </c>
      <c r="K78" s="8" t="str">
        <f t="shared" si="7"/>
        <v>Noruega</v>
      </c>
      <c r="L78" s="9">
        <f t="shared" si="8"/>
        <v>3</v>
      </c>
      <c r="M78" s="9">
        <f t="shared" si="9"/>
        <v>2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60">
        <v>46203</v>
      </c>
      <c r="R78" s="61">
        <v>0.58333333333333337</v>
      </c>
      <c r="S78" s="62" t="s">
        <v>118</v>
      </c>
      <c r="T78" s="63">
        <v>2</v>
      </c>
      <c r="U78" s="63" t="s">
        <v>1</v>
      </c>
      <c r="V78" s="63">
        <v>3</v>
      </c>
      <c r="W78" s="62" t="s">
        <v>123</v>
      </c>
      <c r="X78" t="b">
        <f t="shared" si="10"/>
        <v>1</v>
      </c>
      <c r="AB78" t="b">
        <f t="shared" si="11"/>
        <v>1</v>
      </c>
    </row>
    <row r="79" spans="1:28" x14ac:dyDescent="0.3">
      <c r="A79" s="60">
        <v>46203</v>
      </c>
      <c r="B79" s="61">
        <v>0.75</v>
      </c>
      <c r="C79" s="62" t="s">
        <v>7</v>
      </c>
      <c r="D79" s="63">
        <v>2</v>
      </c>
      <c r="E79" s="63" t="s">
        <v>1</v>
      </c>
      <c r="F79" s="63">
        <v>0</v>
      </c>
      <c r="G79" s="62" t="s">
        <v>14</v>
      </c>
      <c r="K79" s="8" t="str">
        <f t="shared" si="7"/>
        <v>França</v>
      </c>
      <c r="L79" s="9">
        <f t="shared" si="8"/>
        <v>2</v>
      </c>
      <c r="M79" s="9">
        <f t="shared" si="9"/>
        <v>0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60">
        <v>46203</v>
      </c>
      <c r="R79" s="61">
        <v>0.75</v>
      </c>
      <c r="S79" s="62" t="s">
        <v>7</v>
      </c>
      <c r="T79" s="63">
        <v>2</v>
      </c>
      <c r="U79" s="63" t="s">
        <v>1</v>
      </c>
      <c r="V79" s="63">
        <v>0</v>
      </c>
      <c r="W79" s="62" t="s">
        <v>14</v>
      </c>
      <c r="X79" t="b">
        <f t="shared" si="10"/>
        <v>1</v>
      </c>
      <c r="AB79" t="b">
        <f t="shared" si="11"/>
        <v>1</v>
      </c>
    </row>
    <row r="80" spans="1:28" x14ac:dyDescent="0.3">
      <c r="A80" s="60">
        <v>46203</v>
      </c>
      <c r="B80" s="61">
        <v>0.91666666666666663</v>
      </c>
      <c r="C80" s="62" t="s">
        <v>13</v>
      </c>
      <c r="D80" s="63">
        <v>1</v>
      </c>
      <c r="E80" s="63" t="s">
        <v>1</v>
      </c>
      <c r="F80" s="63">
        <v>1</v>
      </c>
      <c r="G80" s="62" t="s">
        <v>102</v>
      </c>
      <c r="K80" s="8" t="str">
        <f t="shared" si="7"/>
        <v>EMPATE</v>
      </c>
      <c r="L80" s="9">
        <f t="shared" si="8"/>
        <v>1</v>
      </c>
      <c r="M80" s="9">
        <f t="shared" si="9"/>
        <v>1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60">
        <v>46203</v>
      </c>
      <c r="R80" s="61">
        <v>0.91666666666666663</v>
      </c>
      <c r="S80" s="62" t="s">
        <v>13</v>
      </c>
      <c r="T80" s="63">
        <v>1</v>
      </c>
      <c r="U80" s="63" t="s">
        <v>1</v>
      </c>
      <c r="V80" s="63">
        <v>1</v>
      </c>
      <c r="W80" s="62" t="s">
        <v>102</v>
      </c>
      <c r="X80" t="b">
        <f t="shared" si="10"/>
        <v>1</v>
      </c>
      <c r="AB80" t="b">
        <f t="shared" si="11"/>
        <v>1</v>
      </c>
    </row>
    <row r="81" spans="1:28" x14ac:dyDescent="0.3">
      <c r="A81" s="60">
        <v>46204</v>
      </c>
      <c r="B81" s="61">
        <v>0.54166666666666663</v>
      </c>
      <c r="C81" s="62" t="s">
        <v>18</v>
      </c>
      <c r="D81" s="63">
        <v>2</v>
      </c>
      <c r="E81" s="63" t="s">
        <v>1</v>
      </c>
      <c r="F81" s="63">
        <v>0</v>
      </c>
      <c r="G81" s="62" t="s">
        <v>127</v>
      </c>
      <c r="K81" s="8" t="str">
        <f t="shared" si="7"/>
        <v>Inglaterra</v>
      </c>
      <c r="L81" s="9">
        <f t="shared" si="8"/>
        <v>2</v>
      </c>
      <c r="M81" s="9">
        <f t="shared" si="9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60">
        <v>46204</v>
      </c>
      <c r="R81" s="61">
        <v>0.54166666666666663</v>
      </c>
      <c r="S81" s="62" t="s">
        <v>18</v>
      </c>
      <c r="T81" s="63">
        <v>2</v>
      </c>
      <c r="U81" s="63" t="s">
        <v>1</v>
      </c>
      <c r="V81" s="63">
        <v>0</v>
      </c>
      <c r="W81" s="62" t="s">
        <v>127</v>
      </c>
      <c r="X81" t="b">
        <f t="shared" si="10"/>
        <v>1</v>
      </c>
      <c r="AB81" t="b">
        <f t="shared" si="11"/>
        <v>1</v>
      </c>
    </row>
    <row r="82" spans="1:28" x14ac:dyDescent="0.3">
      <c r="A82" s="60">
        <v>46204</v>
      </c>
      <c r="B82" s="61">
        <v>0.70833333333333337</v>
      </c>
      <c r="C82" s="62" t="s">
        <v>16</v>
      </c>
      <c r="D82" s="63">
        <v>1</v>
      </c>
      <c r="E82" s="63" t="s">
        <v>1</v>
      </c>
      <c r="F82" s="63">
        <v>1</v>
      </c>
      <c r="G82" s="62" t="s">
        <v>20</v>
      </c>
      <c r="K82" s="8" t="str">
        <f t="shared" si="7"/>
        <v>EMPATE</v>
      </c>
      <c r="L82" s="9">
        <f t="shared" si="8"/>
        <v>1</v>
      </c>
      <c r="M82" s="9">
        <f t="shared" si="9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60">
        <v>46204</v>
      </c>
      <c r="R82" s="61">
        <v>0.70833333333333337</v>
      </c>
      <c r="S82" s="62" t="s">
        <v>16</v>
      </c>
      <c r="T82" s="63">
        <v>1</v>
      </c>
      <c r="U82" s="63" t="s">
        <v>1</v>
      </c>
      <c r="V82" s="63">
        <v>1</v>
      </c>
      <c r="W82" s="62" t="s">
        <v>20</v>
      </c>
      <c r="X82" t="b">
        <f t="shared" si="10"/>
        <v>1</v>
      </c>
      <c r="AB82" t="b">
        <f t="shared" si="11"/>
        <v>1</v>
      </c>
    </row>
    <row r="83" spans="1:28" x14ac:dyDescent="0.3">
      <c r="A83" s="60">
        <v>46204</v>
      </c>
      <c r="B83" s="61">
        <v>0.875</v>
      </c>
      <c r="C83" s="62" t="s">
        <v>104</v>
      </c>
      <c r="D83" s="63">
        <v>2</v>
      </c>
      <c r="E83" s="63" t="s">
        <v>1</v>
      </c>
      <c r="F83" s="63">
        <v>1</v>
      </c>
      <c r="G83" s="62" t="s">
        <v>112</v>
      </c>
      <c r="K83" s="8" t="str">
        <f t="shared" si="7"/>
        <v>Estados Unidos</v>
      </c>
      <c r="L83" s="9">
        <f t="shared" si="8"/>
        <v>2</v>
      </c>
      <c r="M83" s="9">
        <f t="shared" si="9"/>
        <v>1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60">
        <v>46204</v>
      </c>
      <c r="R83" s="61">
        <v>0.875</v>
      </c>
      <c r="S83" s="62" t="s">
        <v>104</v>
      </c>
      <c r="T83" s="63">
        <v>2</v>
      </c>
      <c r="U83" s="63" t="s">
        <v>1</v>
      </c>
      <c r="V83" s="63">
        <v>1</v>
      </c>
      <c r="W83" s="62" t="s">
        <v>112</v>
      </c>
      <c r="X83" t="b">
        <f t="shared" si="10"/>
        <v>1</v>
      </c>
      <c r="AB83" t="b">
        <f t="shared" si="11"/>
        <v>1</v>
      </c>
    </row>
    <row r="84" spans="1:28" x14ac:dyDescent="0.3">
      <c r="A84" s="60">
        <v>46205</v>
      </c>
      <c r="B84" s="61">
        <v>0.66666666666666663</v>
      </c>
      <c r="C84" s="62" t="s">
        <v>6</v>
      </c>
      <c r="D84" s="63">
        <v>2</v>
      </c>
      <c r="E84" s="63" t="s">
        <v>1</v>
      </c>
      <c r="F84" s="63">
        <v>1</v>
      </c>
      <c r="G84" s="62" t="s">
        <v>125</v>
      </c>
      <c r="K84" s="8" t="str">
        <f t="shared" si="7"/>
        <v>Espanha</v>
      </c>
      <c r="L84" s="9">
        <f t="shared" si="8"/>
        <v>2</v>
      </c>
      <c r="M84" s="9">
        <f t="shared" si="9"/>
        <v>1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60">
        <v>46205</v>
      </c>
      <c r="R84" s="61">
        <v>0.66666666666666663</v>
      </c>
      <c r="S84" s="62" t="s">
        <v>6</v>
      </c>
      <c r="T84" s="63">
        <v>2</v>
      </c>
      <c r="U84" s="63" t="s">
        <v>1</v>
      </c>
      <c r="V84" s="63">
        <v>1</v>
      </c>
      <c r="W84" s="62" t="s">
        <v>125</v>
      </c>
      <c r="X84" t="b">
        <f t="shared" si="10"/>
        <v>1</v>
      </c>
      <c r="AB84" t="b">
        <f t="shared" si="11"/>
        <v>1</v>
      </c>
    </row>
    <row r="85" spans="1:28" x14ac:dyDescent="0.3">
      <c r="A85" s="60">
        <v>46205</v>
      </c>
      <c r="B85" s="61">
        <v>0.83333333333333337</v>
      </c>
      <c r="C85" s="62" t="s">
        <v>5</v>
      </c>
      <c r="D85" s="63">
        <v>1</v>
      </c>
      <c r="E85" s="63" t="s">
        <v>1</v>
      </c>
      <c r="F85" s="63">
        <v>2</v>
      </c>
      <c r="G85" s="62" t="s">
        <v>10</v>
      </c>
      <c r="K85" s="8" t="str">
        <f t="shared" si="7"/>
        <v>Croácia</v>
      </c>
      <c r="L85" s="9">
        <f t="shared" si="8"/>
        <v>2</v>
      </c>
      <c r="M85" s="9">
        <f t="shared" si="9"/>
        <v>1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60">
        <v>46205</v>
      </c>
      <c r="R85" s="61">
        <v>0.83333333333333337</v>
      </c>
      <c r="S85" s="62" t="s">
        <v>5</v>
      </c>
      <c r="T85" s="63">
        <v>1</v>
      </c>
      <c r="U85" s="63" t="s">
        <v>1</v>
      </c>
      <c r="V85" s="63">
        <v>2</v>
      </c>
      <c r="W85" s="62" t="s">
        <v>10</v>
      </c>
      <c r="X85" t="b">
        <f t="shared" si="10"/>
        <v>1</v>
      </c>
      <c r="AB85" t="b">
        <f t="shared" si="11"/>
        <v>1</v>
      </c>
    </row>
    <row r="86" spans="1:28" x14ac:dyDescent="0.3">
      <c r="A86" s="60">
        <v>46206</v>
      </c>
      <c r="B86" s="61">
        <v>0</v>
      </c>
      <c r="C86" s="62" t="s">
        <v>72</v>
      </c>
      <c r="D86" s="63">
        <v>2</v>
      </c>
      <c r="E86" s="63" t="s">
        <v>1</v>
      </c>
      <c r="F86" s="63">
        <v>3</v>
      </c>
      <c r="G86" s="62" t="s">
        <v>124</v>
      </c>
      <c r="K86" s="8" t="str">
        <f t="shared" si="7"/>
        <v>Argélia</v>
      </c>
      <c r="L86" s="9">
        <f t="shared" si="8"/>
        <v>3</v>
      </c>
      <c r="M86" s="9">
        <f t="shared" si="9"/>
        <v>2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60">
        <v>46206</v>
      </c>
      <c r="R86" s="61">
        <v>0</v>
      </c>
      <c r="S86" s="62" t="s">
        <v>72</v>
      </c>
      <c r="T86" s="63">
        <v>2</v>
      </c>
      <c r="U86" s="63" t="s">
        <v>1</v>
      </c>
      <c r="V86" s="63">
        <v>3</v>
      </c>
      <c r="W86" s="62" t="s">
        <v>124</v>
      </c>
      <c r="X86" t="b">
        <f t="shared" si="10"/>
        <v>1</v>
      </c>
      <c r="AB86" t="b">
        <f t="shared" si="11"/>
        <v>1</v>
      </c>
    </row>
    <row r="87" spans="1:28" x14ac:dyDescent="0.3">
      <c r="A87" s="60">
        <v>46206</v>
      </c>
      <c r="B87" s="61">
        <v>0.625</v>
      </c>
      <c r="C87" s="62" t="s">
        <v>8</v>
      </c>
      <c r="D87" s="63">
        <v>0</v>
      </c>
      <c r="E87" s="63" t="s">
        <v>1</v>
      </c>
      <c r="F87" s="63">
        <v>2</v>
      </c>
      <c r="G87" s="62" t="s">
        <v>119</v>
      </c>
      <c r="K87" s="8" t="str">
        <f t="shared" si="7"/>
        <v>Egito</v>
      </c>
      <c r="L87" s="9">
        <f t="shared" si="8"/>
        <v>2</v>
      </c>
      <c r="M87" s="9">
        <f t="shared" si="9"/>
        <v>0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60">
        <v>46206</v>
      </c>
      <c r="R87" s="61">
        <v>0.625</v>
      </c>
      <c r="S87" s="62" t="s">
        <v>8</v>
      </c>
      <c r="T87" s="63">
        <v>0</v>
      </c>
      <c r="U87" s="63" t="s">
        <v>1</v>
      </c>
      <c r="V87" s="63">
        <v>2</v>
      </c>
      <c r="W87" s="62" t="s">
        <v>119</v>
      </c>
      <c r="X87" t="b">
        <f t="shared" si="10"/>
        <v>1</v>
      </c>
      <c r="AB87" t="b">
        <f t="shared" si="11"/>
        <v>1</v>
      </c>
    </row>
    <row r="88" spans="1:28" x14ac:dyDescent="0.3">
      <c r="A88" s="60">
        <v>46206</v>
      </c>
      <c r="B88" s="61">
        <v>0.79166666666666663</v>
      </c>
      <c r="C88" s="62" t="s">
        <v>9</v>
      </c>
      <c r="D88" s="63">
        <v>2</v>
      </c>
      <c r="E88" s="63" t="s">
        <v>1</v>
      </c>
      <c r="F88" s="63">
        <v>1</v>
      </c>
      <c r="G88" s="62" t="s">
        <v>121</v>
      </c>
      <c r="K88" s="8" t="str">
        <f t="shared" si="7"/>
        <v>Argentina</v>
      </c>
      <c r="L88" s="9">
        <f t="shared" si="8"/>
        <v>2</v>
      </c>
      <c r="M88" s="9">
        <f t="shared" si="9"/>
        <v>1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60">
        <v>46206</v>
      </c>
      <c r="R88" s="61">
        <v>0.79166666666666663</v>
      </c>
      <c r="S88" s="62" t="s">
        <v>9</v>
      </c>
      <c r="T88" s="63">
        <v>2</v>
      </c>
      <c r="U88" s="63" t="s">
        <v>1</v>
      </c>
      <c r="V88" s="63">
        <v>1</v>
      </c>
      <c r="W88" s="62" t="s">
        <v>121</v>
      </c>
      <c r="X88" t="b">
        <f t="shared" si="10"/>
        <v>1</v>
      </c>
      <c r="AB88" t="b">
        <f t="shared" si="11"/>
        <v>1</v>
      </c>
    </row>
    <row r="89" spans="1:28" x14ac:dyDescent="0.3">
      <c r="A89" s="60">
        <v>46206</v>
      </c>
      <c r="B89" s="61">
        <v>0.9375</v>
      </c>
      <c r="C89" s="62" t="s">
        <v>129</v>
      </c>
      <c r="D89" s="63">
        <v>2</v>
      </c>
      <c r="E89" s="63" t="s">
        <v>1</v>
      </c>
      <c r="F89" s="63">
        <v>1</v>
      </c>
      <c r="G89" s="62" t="s">
        <v>106</v>
      </c>
      <c r="K89" s="8" t="str">
        <f t="shared" si="7"/>
        <v>Colômbia</v>
      </c>
      <c r="L89" s="9">
        <f t="shared" si="8"/>
        <v>2</v>
      </c>
      <c r="M89" s="9">
        <f t="shared" si="9"/>
        <v>1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60">
        <v>46206</v>
      </c>
      <c r="R89" s="61">
        <v>0.9375</v>
      </c>
      <c r="S89" s="62" t="s">
        <v>129</v>
      </c>
      <c r="T89" s="63">
        <v>2</v>
      </c>
      <c r="U89" s="63" t="s">
        <v>1</v>
      </c>
      <c r="V89" s="63">
        <v>1</v>
      </c>
      <c r="W89" s="62" t="s">
        <v>106</v>
      </c>
      <c r="X89" t="b">
        <f t="shared" si="10"/>
        <v>1</v>
      </c>
      <c r="AB89" t="b">
        <f t="shared" si="11"/>
        <v>1</v>
      </c>
    </row>
    <row r="90" spans="1:28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8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8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8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8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8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8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93F2-9F97-4E26-BD83-088E3441EF9E}">
  <dimension ref="A1:Z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21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132</v>
      </c>
      <c r="I1" s="135"/>
      <c r="J1" s="142"/>
      <c r="K1" s="3" t="s">
        <v>32</v>
      </c>
      <c r="L1" s="3" t="s">
        <v>30</v>
      </c>
      <c r="M1" s="3" t="s">
        <v>31</v>
      </c>
      <c r="O1" s="4" t="s">
        <v>33</v>
      </c>
    </row>
    <row r="2" spans="1:21" ht="15.75" customHeight="1" x14ac:dyDescent="0.3">
      <c r="A2" s="53">
        <v>46184</v>
      </c>
      <c r="B2" s="54">
        <v>0.66666666666666663</v>
      </c>
      <c r="C2" s="55" t="s">
        <v>13</v>
      </c>
      <c r="D2" s="46">
        <v>2</v>
      </c>
      <c r="E2" s="46" t="s">
        <v>1</v>
      </c>
      <c r="F2" s="46">
        <v>1</v>
      </c>
      <c r="G2" s="55" t="s">
        <v>88</v>
      </c>
      <c r="H2" s="141"/>
      <c r="I2" s="135"/>
      <c r="J2" s="142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6</v>
      </c>
      <c r="Q2" s="86"/>
      <c r="R2" s="48"/>
      <c r="S2" s="48"/>
      <c r="T2" s="48"/>
      <c r="U2" s="86"/>
    </row>
    <row r="3" spans="1:21" ht="15.75" customHeight="1" x14ac:dyDescent="0.3">
      <c r="A3" s="53">
        <v>46184</v>
      </c>
      <c r="B3" s="54">
        <v>0.95833333333333337</v>
      </c>
      <c r="C3" s="55" t="s">
        <v>15</v>
      </c>
      <c r="D3" s="46">
        <v>1</v>
      </c>
      <c r="E3" s="46" t="s">
        <v>1</v>
      </c>
      <c r="F3" s="46">
        <v>1</v>
      </c>
      <c r="G3" s="55" t="s">
        <v>111</v>
      </c>
      <c r="H3" s="141"/>
      <c r="I3" s="135"/>
      <c r="J3" s="142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  <c r="Q3" s="86"/>
      <c r="R3" s="48"/>
      <c r="S3" s="48"/>
      <c r="T3" s="48"/>
      <c r="U3" s="86"/>
    </row>
    <row r="4" spans="1:21" ht="15.75" customHeight="1" x14ac:dyDescent="0.3">
      <c r="A4" s="53">
        <v>46185</v>
      </c>
      <c r="B4" s="54">
        <v>0.66666666666666663</v>
      </c>
      <c r="C4" s="55" t="s">
        <v>105</v>
      </c>
      <c r="D4" s="46">
        <v>1</v>
      </c>
      <c r="E4" s="46" t="s">
        <v>1</v>
      </c>
      <c r="F4" s="46">
        <v>0</v>
      </c>
      <c r="G4" s="55" t="s">
        <v>112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1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  <c r="Q4" s="86"/>
      <c r="R4" s="48"/>
      <c r="S4" s="48"/>
      <c r="T4" s="48"/>
      <c r="U4" s="86"/>
    </row>
    <row r="5" spans="1:21" ht="15.75" customHeight="1" x14ac:dyDescent="0.3">
      <c r="A5" s="53">
        <v>46185</v>
      </c>
      <c r="B5" s="54">
        <v>0.91666666666666663</v>
      </c>
      <c r="C5" s="55" t="s">
        <v>104</v>
      </c>
      <c r="D5" s="46">
        <v>2</v>
      </c>
      <c r="E5" s="46" t="s">
        <v>1</v>
      </c>
      <c r="F5" s="46">
        <v>1</v>
      </c>
      <c r="G5" s="55" t="s">
        <v>115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  <c r="Q5" s="86"/>
      <c r="R5" s="48"/>
      <c r="S5" s="48"/>
      <c r="T5" s="48"/>
      <c r="U5" s="86"/>
    </row>
    <row r="6" spans="1:21" ht="15.75" customHeight="1" x14ac:dyDescent="0.3">
      <c r="A6" s="53">
        <v>46186</v>
      </c>
      <c r="B6" s="54">
        <v>0.66666666666666663</v>
      </c>
      <c r="C6" s="55" t="s">
        <v>97</v>
      </c>
      <c r="D6" s="46">
        <v>0</v>
      </c>
      <c r="E6" s="46" t="s">
        <v>1</v>
      </c>
      <c r="F6" s="46">
        <v>1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3"/>
        <v>Suíça</v>
      </c>
      <c r="L6" s="9">
        <f t="shared" si="4"/>
        <v>1</v>
      </c>
      <c r="M6" s="9">
        <f t="shared" si="5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  <c r="Q6" s="86"/>
      <c r="R6" s="48"/>
      <c r="S6" s="48"/>
      <c r="T6" s="48"/>
      <c r="U6" s="86"/>
    </row>
    <row r="7" spans="1:21" ht="15.75" customHeight="1" x14ac:dyDescent="0.3">
      <c r="A7" s="53">
        <v>46186</v>
      </c>
      <c r="B7" s="54">
        <v>0.79166666666666663</v>
      </c>
      <c r="C7" s="55" t="s">
        <v>11</v>
      </c>
      <c r="D7" s="46">
        <v>2</v>
      </c>
      <c r="E7" s="46" t="s">
        <v>1</v>
      </c>
      <c r="F7" s="46">
        <v>1</v>
      </c>
      <c r="G7" s="55" t="s">
        <v>4</v>
      </c>
      <c r="H7" s="15">
        <v>9</v>
      </c>
      <c r="I7" s="15">
        <f>COUNTIF($O$2:$O$105,9)</f>
        <v>5</v>
      </c>
      <c r="J7" s="15">
        <f>H7*I7</f>
        <v>45</v>
      </c>
      <c r="K7" s="8" t="str">
        <f t="shared" si="3"/>
        <v>Brasil</v>
      </c>
      <c r="L7" s="9">
        <f t="shared" si="4"/>
        <v>2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  <c r="Q7" s="86"/>
      <c r="R7" s="48"/>
      <c r="S7" s="48"/>
      <c r="T7" s="48"/>
      <c r="U7" s="86"/>
    </row>
    <row r="8" spans="1:21" ht="15.75" customHeight="1" x14ac:dyDescent="0.3">
      <c r="A8" s="53">
        <v>46186</v>
      </c>
      <c r="B8" s="54">
        <v>0.91666666666666663</v>
      </c>
      <c r="C8" s="55" t="s">
        <v>113</v>
      </c>
      <c r="D8" s="46">
        <v>1</v>
      </c>
      <c r="E8" s="46" t="s">
        <v>1</v>
      </c>
      <c r="F8" s="46">
        <v>3</v>
      </c>
      <c r="G8" s="55" t="s">
        <v>114</v>
      </c>
      <c r="H8" s="15">
        <v>6</v>
      </c>
      <c r="I8" s="15">
        <f>COUNTIF($O$2:$O$105,6)</f>
        <v>6</v>
      </c>
      <c r="J8" s="15">
        <f t="shared" ref="J8:J11" si="6">H8*I8</f>
        <v>36</v>
      </c>
      <c r="K8" s="8" t="str">
        <f t="shared" si="3"/>
        <v>Escócia</v>
      </c>
      <c r="L8" s="9">
        <f t="shared" si="4"/>
        <v>3</v>
      </c>
      <c r="M8" s="9">
        <f t="shared" si="5"/>
        <v>1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3</v>
      </c>
      <c r="Q8" s="86"/>
      <c r="R8" s="48"/>
      <c r="S8" s="48"/>
      <c r="T8" s="48"/>
      <c r="U8" s="86"/>
    </row>
    <row r="9" spans="1:21" ht="15.75" customHeight="1" x14ac:dyDescent="0.3">
      <c r="A9" s="53">
        <v>46187</v>
      </c>
      <c r="B9" s="54">
        <v>4.1666666666666664E-2</v>
      </c>
      <c r="C9" s="55" t="s">
        <v>8</v>
      </c>
      <c r="D9" s="46">
        <v>1</v>
      </c>
      <c r="E9" s="46" t="s">
        <v>1</v>
      </c>
      <c r="F9" s="46">
        <v>1</v>
      </c>
      <c r="G9" s="55" t="s">
        <v>116</v>
      </c>
      <c r="H9" s="15">
        <v>4</v>
      </c>
      <c r="I9" s="15">
        <f>COUNTIF($O$2:$O$105,4)</f>
        <v>15</v>
      </c>
      <c r="J9" s="15">
        <f t="shared" si="6"/>
        <v>60</v>
      </c>
      <c r="K9" s="8" t="str">
        <f t="shared" si="3"/>
        <v>EMPATE</v>
      </c>
      <c r="L9" s="9">
        <f t="shared" si="4"/>
        <v>1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  <c r="Q9" s="86"/>
      <c r="R9" s="48"/>
      <c r="S9" s="48"/>
      <c r="T9" s="48"/>
      <c r="U9" s="86"/>
    </row>
    <row r="10" spans="1:21" x14ac:dyDescent="0.3">
      <c r="A10" s="53">
        <v>46187</v>
      </c>
      <c r="B10" s="54">
        <v>0.58333333333333337</v>
      </c>
      <c r="C10" s="55" t="s">
        <v>12</v>
      </c>
      <c r="D10" s="46">
        <v>5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17</v>
      </c>
      <c r="J10" s="15">
        <f t="shared" si="6"/>
        <v>51</v>
      </c>
      <c r="K10" s="8" t="str">
        <f t="shared" si="3"/>
        <v>Alemanha</v>
      </c>
      <c r="L10" s="9">
        <f t="shared" si="4"/>
        <v>5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  <c r="Q10" s="86"/>
      <c r="R10" s="48"/>
      <c r="S10" s="48"/>
      <c r="T10" s="48"/>
      <c r="U10" s="86"/>
    </row>
    <row r="11" spans="1:21" x14ac:dyDescent="0.3">
      <c r="A11" s="53">
        <v>46187</v>
      </c>
      <c r="B11" s="54">
        <v>0.70833333333333337</v>
      </c>
      <c r="C11" s="55" t="s">
        <v>78</v>
      </c>
      <c r="D11" s="46">
        <v>2</v>
      </c>
      <c r="E11" s="46" t="s">
        <v>1</v>
      </c>
      <c r="F11" s="46">
        <v>1</v>
      </c>
      <c r="G11" s="55" t="s">
        <v>19</v>
      </c>
      <c r="H11" s="15">
        <v>0</v>
      </c>
      <c r="I11" s="15">
        <f>COUNTIF($O$2:$O$105,0)</f>
        <v>29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  <c r="Q11" s="86"/>
      <c r="R11" s="48"/>
      <c r="S11" s="48"/>
      <c r="T11" s="48"/>
      <c r="U11" s="86"/>
    </row>
    <row r="12" spans="1:21" ht="18" x14ac:dyDescent="0.35">
      <c r="A12" s="53">
        <v>46187</v>
      </c>
      <c r="B12" s="54">
        <v>0.83333333333333337</v>
      </c>
      <c r="C12" s="55" t="s">
        <v>118</v>
      </c>
      <c r="D12" s="46">
        <v>1</v>
      </c>
      <c r="E12" s="46" t="s">
        <v>1</v>
      </c>
      <c r="F12" s="46">
        <v>1</v>
      </c>
      <c r="G12" s="55" t="s">
        <v>102</v>
      </c>
      <c r="H12" s="15"/>
      <c r="I12" s="16" t="s">
        <v>46</v>
      </c>
      <c r="J12" s="17">
        <f>SUM(J7:J11)</f>
        <v>192</v>
      </c>
      <c r="K12" s="8" t="str">
        <f t="shared" si="3"/>
        <v>EMPATE</v>
      </c>
      <c r="L12" s="9">
        <f t="shared" si="4"/>
        <v>1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  <c r="Q12" s="86"/>
      <c r="R12" s="48"/>
      <c r="S12" s="48"/>
      <c r="T12" s="48"/>
      <c r="U12" s="86"/>
    </row>
    <row r="13" spans="1:21" x14ac:dyDescent="0.3">
      <c r="A13" s="53">
        <v>46187</v>
      </c>
      <c r="B13" s="54">
        <v>0.95833333333333337</v>
      </c>
      <c r="C13" s="55" t="s">
        <v>14</v>
      </c>
      <c r="D13" s="46">
        <v>2</v>
      </c>
      <c r="E13" s="46" t="s">
        <v>1</v>
      </c>
      <c r="F13" s="46">
        <v>0</v>
      </c>
      <c r="G13" s="55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  <c r="Q13" s="86"/>
      <c r="R13" s="48"/>
      <c r="S13" s="48"/>
      <c r="T13" s="48"/>
      <c r="U13" s="86"/>
    </row>
    <row r="14" spans="1:21" x14ac:dyDescent="0.3">
      <c r="A14" s="53">
        <v>46188</v>
      </c>
      <c r="B14" s="54">
        <v>0.54166666666666663</v>
      </c>
      <c r="C14" s="55" t="s">
        <v>6</v>
      </c>
      <c r="D14" s="46">
        <v>4</v>
      </c>
      <c r="E14" s="46" t="s">
        <v>1</v>
      </c>
      <c r="F14" s="46">
        <v>0</v>
      </c>
      <c r="G14" s="55" t="s">
        <v>121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  <c r="Q14" s="86"/>
      <c r="R14" s="48"/>
      <c r="S14" s="48"/>
      <c r="T14" s="48"/>
      <c r="U14" s="86"/>
    </row>
    <row r="15" spans="1:21" x14ac:dyDescent="0.3">
      <c r="A15" s="53">
        <v>46188</v>
      </c>
      <c r="B15" s="54">
        <v>0.66666666666666663</v>
      </c>
      <c r="C15" s="55" t="s">
        <v>16</v>
      </c>
      <c r="D15" s="46">
        <v>3</v>
      </c>
      <c r="E15" s="46" t="s">
        <v>1</v>
      </c>
      <c r="F15" s="46">
        <v>1</v>
      </c>
      <c r="G15" s="55" t="s">
        <v>119</v>
      </c>
      <c r="K15" s="8" t="str">
        <f t="shared" si="3"/>
        <v>Bélgica</v>
      </c>
      <c r="L15" s="9">
        <f t="shared" si="4"/>
        <v>3</v>
      </c>
      <c r="M15" s="9">
        <f t="shared" si="5"/>
        <v>1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  <c r="Q15" s="86"/>
      <c r="R15" s="48"/>
      <c r="S15" s="48"/>
      <c r="T15" s="48"/>
      <c r="U15" s="86"/>
    </row>
    <row r="16" spans="1:21" x14ac:dyDescent="0.3">
      <c r="A16" s="53">
        <v>46188</v>
      </c>
      <c r="B16" s="54">
        <v>0.79166666666666663</v>
      </c>
      <c r="C16" s="55" t="s">
        <v>2</v>
      </c>
      <c r="D16" s="46">
        <v>1</v>
      </c>
      <c r="E16" s="46" t="s">
        <v>1</v>
      </c>
      <c r="F16" s="46">
        <v>3</v>
      </c>
      <c r="G16" s="55" t="s">
        <v>3</v>
      </c>
      <c r="K16" s="8" t="str">
        <f t="shared" si="3"/>
        <v>Uruguai</v>
      </c>
      <c r="L16" s="9">
        <f t="shared" si="4"/>
        <v>3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  <c r="Q16" s="86"/>
      <c r="R16" s="48"/>
      <c r="S16" s="48"/>
      <c r="T16" s="48"/>
      <c r="U16" s="86"/>
    </row>
    <row r="17" spans="1:22" x14ac:dyDescent="0.3">
      <c r="A17" s="53">
        <v>46188</v>
      </c>
      <c r="B17" s="54">
        <v>0.91666666666666663</v>
      </c>
      <c r="C17" s="55" t="s">
        <v>103</v>
      </c>
      <c r="D17" s="46">
        <v>2</v>
      </c>
      <c r="E17" s="46" t="s">
        <v>1</v>
      </c>
      <c r="F17" s="46">
        <v>0</v>
      </c>
      <c r="G17" s="55" t="s">
        <v>120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  <c r="Q17" s="86"/>
      <c r="R17" s="48"/>
      <c r="S17" s="48"/>
      <c r="T17" s="48"/>
      <c r="U17" s="86"/>
    </row>
    <row r="18" spans="1:22" x14ac:dyDescent="0.3">
      <c r="A18" s="53">
        <v>46189</v>
      </c>
      <c r="B18" s="54">
        <v>0.66666666666666663</v>
      </c>
      <c r="C18" s="55" t="s">
        <v>7</v>
      </c>
      <c r="D18" s="46">
        <v>3</v>
      </c>
      <c r="E18" s="46" t="s">
        <v>1</v>
      </c>
      <c r="F18" s="46">
        <v>1</v>
      </c>
      <c r="G18" s="55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  <c r="Q18" s="86"/>
      <c r="R18" s="48"/>
      <c r="S18" s="48"/>
      <c r="T18" s="48"/>
      <c r="U18" s="86"/>
    </row>
    <row r="19" spans="1:22" x14ac:dyDescent="0.3">
      <c r="A19" s="53">
        <v>46189</v>
      </c>
      <c r="B19" s="54">
        <v>0.79166666666666663</v>
      </c>
      <c r="C19" s="55" t="s">
        <v>122</v>
      </c>
      <c r="D19" s="46">
        <v>1</v>
      </c>
      <c r="E19" s="46" t="s">
        <v>1</v>
      </c>
      <c r="F19" s="46">
        <v>3</v>
      </c>
      <c r="G19" s="55" t="s">
        <v>123</v>
      </c>
      <c r="K19" s="8" t="str">
        <f t="shared" si="3"/>
        <v>Noruega</v>
      </c>
      <c r="L19" s="9">
        <f t="shared" si="4"/>
        <v>3</v>
      </c>
      <c r="M19" s="9">
        <f t="shared" si="5"/>
        <v>1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4</v>
      </c>
      <c r="Q19" s="86"/>
      <c r="R19" s="48"/>
      <c r="S19" s="48"/>
      <c r="T19" s="48"/>
      <c r="U19" s="86"/>
    </row>
    <row r="20" spans="1:22" x14ac:dyDescent="0.3">
      <c r="A20" s="53">
        <v>46189</v>
      </c>
      <c r="B20" s="54">
        <v>0.91666666666666663</v>
      </c>
      <c r="C20" s="55" t="s">
        <v>9</v>
      </c>
      <c r="D20" s="46">
        <v>3</v>
      </c>
      <c r="E20" s="46" t="s">
        <v>1</v>
      </c>
      <c r="F20" s="46">
        <v>0</v>
      </c>
      <c r="G20" s="55" t="s">
        <v>124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  <c r="Q20" s="86"/>
      <c r="R20" s="48"/>
      <c r="S20" s="48"/>
      <c r="T20" s="48"/>
      <c r="U20" s="86"/>
    </row>
    <row r="21" spans="1:22" x14ac:dyDescent="0.3">
      <c r="A21" s="53">
        <v>46190</v>
      </c>
      <c r="B21" s="54">
        <v>4.1666666666666664E-2</v>
      </c>
      <c r="C21" s="55" t="s">
        <v>125</v>
      </c>
      <c r="D21" s="46">
        <v>1</v>
      </c>
      <c r="E21" s="46" t="s">
        <v>1</v>
      </c>
      <c r="F21" s="46">
        <v>0</v>
      </c>
      <c r="G21" s="55" t="s">
        <v>126</v>
      </c>
      <c r="K21" s="8" t="str">
        <f t="shared" si="3"/>
        <v>Áustria</v>
      </c>
      <c r="L21" s="9">
        <f t="shared" si="4"/>
        <v>1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  <c r="Q21" s="86"/>
      <c r="R21" s="48"/>
      <c r="S21" s="48"/>
      <c r="T21" s="48"/>
      <c r="U21" s="86"/>
    </row>
    <row r="22" spans="1:22" x14ac:dyDescent="0.3">
      <c r="A22" s="53">
        <v>46190</v>
      </c>
      <c r="B22" s="54">
        <v>0.58333333333333337</v>
      </c>
      <c r="C22" s="55" t="s">
        <v>5</v>
      </c>
      <c r="D22" s="46">
        <v>3</v>
      </c>
      <c r="E22" s="46" t="s">
        <v>1</v>
      </c>
      <c r="F22" s="46">
        <v>1</v>
      </c>
      <c r="G22" s="55" t="s">
        <v>127</v>
      </c>
      <c r="K22" s="8" t="str">
        <f t="shared" si="3"/>
        <v>Portugal</v>
      </c>
      <c r="L22" s="9">
        <f t="shared" si="4"/>
        <v>3</v>
      </c>
      <c r="M22" s="9">
        <f t="shared" si="5"/>
        <v>1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  <c r="Q22" s="86"/>
      <c r="R22" s="48"/>
      <c r="S22" s="48"/>
      <c r="T22" s="48"/>
      <c r="U22" s="86"/>
    </row>
    <row r="23" spans="1:22" x14ac:dyDescent="0.3">
      <c r="A23" s="53">
        <v>46190</v>
      </c>
      <c r="B23" s="54">
        <v>0.70833333333333337</v>
      </c>
      <c r="C23" s="55" t="s">
        <v>18</v>
      </c>
      <c r="D23" s="46">
        <v>1</v>
      </c>
      <c r="E23" s="46" t="s">
        <v>1</v>
      </c>
      <c r="F23" s="46">
        <v>0</v>
      </c>
      <c r="G23" s="55" t="s">
        <v>10</v>
      </c>
      <c r="K23" s="8" t="str">
        <f t="shared" si="3"/>
        <v>Inglaterra</v>
      </c>
      <c r="L23" s="9">
        <f t="shared" si="4"/>
        <v>1</v>
      </c>
      <c r="M23" s="9">
        <f t="shared" si="5"/>
        <v>0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  <c r="Q23" s="86"/>
      <c r="R23" s="48"/>
      <c r="S23" s="48"/>
      <c r="T23" s="48"/>
      <c r="U23" s="86"/>
    </row>
    <row r="24" spans="1:22" x14ac:dyDescent="0.3">
      <c r="A24" s="53">
        <v>46190</v>
      </c>
      <c r="B24" s="54">
        <v>0.83333333333333337</v>
      </c>
      <c r="C24" s="55" t="s">
        <v>106</v>
      </c>
      <c r="D24" s="46">
        <v>3</v>
      </c>
      <c r="E24" s="46" t="s">
        <v>1</v>
      </c>
      <c r="F24" s="46">
        <v>1</v>
      </c>
      <c r="G24" s="55" t="s">
        <v>130</v>
      </c>
      <c r="K24" s="8" t="str">
        <f t="shared" si="3"/>
        <v>Gana</v>
      </c>
      <c r="L24" s="9">
        <f t="shared" si="4"/>
        <v>3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  <c r="Q24" s="86"/>
      <c r="R24" s="48"/>
      <c r="S24" s="48"/>
      <c r="T24" s="48"/>
      <c r="U24" s="86"/>
    </row>
    <row r="25" spans="1:22" x14ac:dyDescent="0.3">
      <c r="A25" s="53">
        <v>46190</v>
      </c>
      <c r="B25" s="54">
        <v>0.95833333333333337</v>
      </c>
      <c r="C25" s="55" t="s">
        <v>128</v>
      </c>
      <c r="D25" s="46">
        <v>0</v>
      </c>
      <c r="E25" s="46" t="s">
        <v>1</v>
      </c>
      <c r="F25" s="46">
        <v>1</v>
      </c>
      <c r="G25" s="55" t="s">
        <v>129</v>
      </c>
      <c r="K25" s="8" t="str">
        <f t="shared" si="3"/>
        <v>Colômbia</v>
      </c>
      <c r="L25" s="9">
        <f t="shared" si="4"/>
        <v>1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  <c r="Q25" s="86"/>
      <c r="R25" s="48"/>
      <c r="S25" s="48"/>
      <c r="T25" s="48"/>
      <c r="U25" s="86"/>
    </row>
    <row r="26" spans="1:22" x14ac:dyDescent="0.3">
      <c r="A26" s="100">
        <v>46191</v>
      </c>
      <c r="B26" s="101">
        <v>0.54166666666666663</v>
      </c>
      <c r="C26" s="102" t="s">
        <v>111</v>
      </c>
      <c r="D26" s="103">
        <v>2</v>
      </c>
      <c r="E26" s="103" t="s">
        <v>1</v>
      </c>
      <c r="F26" s="103">
        <v>1</v>
      </c>
      <c r="G26" s="102" t="s">
        <v>88</v>
      </c>
      <c r="K26" s="8" t="str">
        <f t="shared" si="3"/>
        <v>República Tcheca</v>
      </c>
      <c r="L26" s="9">
        <f t="shared" si="4"/>
        <v>2</v>
      </c>
      <c r="M26" s="9">
        <f t="shared" si="5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R26" s="86"/>
      <c r="S26" s="48"/>
      <c r="T26" s="48"/>
      <c r="U26" s="48"/>
      <c r="V26" s="86"/>
    </row>
    <row r="27" spans="1:22" x14ac:dyDescent="0.3">
      <c r="A27" s="100">
        <v>46191</v>
      </c>
      <c r="B27" s="101">
        <v>0.66666666666666663</v>
      </c>
      <c r="C27" s="102" t="s">
        <v>72</v>
      </c>
      <c r="D27" s="103">
        <v>2</v>
      </c>
      <c r="E27" s="103" t="s">
        <v>1</v>
      </c>
      <c r="F27" s="103">
        <v>0</v>
      </c>
      <c r="G27" s="102" t="s">
        <v>112</v>
      </c>
      <c r="K27" s="8" t="str">
        <f t="shared" si="3"/>
        <v>Suíça</v>
      </c>
      <c r="L27" s="9">
        <f t="shared" si="4"/>
        <v>2</v>
      </c>
      <c r="M27" s="9">
        <f t="shared" si="5"/>
        <v>0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3</v>
      </c>
      <c r="R27" s="86"/>
      <c r="S27" s="48"/>
      <c r="T27" s="48"/>
      <c r="U27" s="48"/>
      <c r="V27" s="86"/>
    </row>
    <row r="28" spans="1:22" x14ac:dyDescent="0.3">
      <c r="A28" s="100">
        <v>46191</v>
      </c>
      <c r="B28" s="101">
        <v>0.79166666666666663</v>
      </c>
      <c r="C28" s="102" t="s">
        <v>105</v>
      </c>
      <c r="D28" s="103">
        <v>2</v>
      </c>
      <c r="E28" s="103" t="s">
        <v>1</v>
      </c>
      <c r="F28" s="103">
        <v>1</v>
      </c>
      <c r="G28" s="102" t="s">
        <v>97</v>
      </c>
      <c r="K28" s="8" t="str">
        <f t="shared" si="3"/>
        <v>Canadá</v>
      </c>
      <c r="L28" s="9">
        <f t="shared" si="4"/>
        <v>2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R28" s="86"/>
      <c r="S28" s="48"/>
      <c r="T28" s="48"/>
      <c r="U28" s="48"/>
      <c r="V28" s="86"/>
    </row>
    <row r="29" spans="1:22" x14ac:dyDescent="0.3">
      <c r="A29" s="100">
        <v>46191</v>
      </c>
      <c r="B29" s="101">
        <v>0.91666666666666663</v>
      </c>
      <c r="C29" s="102" t="s">
        <v>13</v>
      </c>
      <c r="D29" s="103">
        <v>1</v>
      </c>
      <c r="E29" s="103" t="s">
        <v>1</v>
      </c>
      <c r="F29" s="103">
        <v>1</v>
      </c>
      <c r="G29" s="102" t="s">
        <v>15</v>
      </c>
      <c r="K29" s="8" t="str">
        <f t="shared" si="3"/>
        <v>EMPATE</v>
      </c>
      <c r="L29" s="9">
        <f t="shared" si="4"/>
        <v>1</v>
      </c>
      <c r="M29" s="9">
        <f t="shared" si="5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0</v>
      </c>
      <c r="R29" s="86"/>
      <c r="S29" s="48"/>
      <c r="T29" s="48"/>
      <c r="U29" s="48"/>
      <c r="V29" s="86"/>
    </row>
    <row r="30" spans="1:22" x14ac:dyDescent="0.3">
      <c r="A30" s="100">
        <v>46192</v>
      </c>
      <c r="B30" s="101">
        <v>0.66666666666666663</v>
      </c>
      <c r="C30" s="102" t="s">
        <v>104</v>
      </c>
      <c r="D30" s="103">
        <v>2</v>
      </c>
      <c r="E30" s="103" t="s">
        <v>1</v>
      </c>
      <c r="F30" s="103">
        <v>1</v>
      </c>
      <c r="G30" s="102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6</v>
      </c>
      <c r="R30" s="86"/>
      <c r="S30" s="48"/>
      <c r="T30" s="48"/>
      <c r="U30" s="48"/>
      <c r="V30" s="86"/>
    </row>
    <row r="31" spans="1:22" x14ac:dyDescent="0.3">
      <c r="A31" s="100">
        <v>46192</v>
      </c>
      <c r="B31" s="101">
        <v>0.79166666666666663</v>
      </c>
      <c r="C31" s="102" t="s">
        <v>114</v>
      </c>
      <c r="D31" s="103">
        <v>1</v>
      </c>
      <c r="E31" s="103" t="s">
        <v>1</v>
      </c>
      <c r="F31" s="103">
        <v>2</v>
      </c>
      <c r="G31" s="102" t="s">
        <v>4</v>
      </c>
      <c r="K31" s="8" t="str">
        <f t="shared" si="3"/>
        <v>Marrocos</v>
      </c>
      <c r="L31" s="9">
        <f t="shared" si="4"/>
        <v>2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3</v>
      </c>
      <c r="R31" s="86"/>
      <c r="S31" s="48"/>
      <c r="T31" s="48"/>
      <c r="U31" s="48"/>
      <c r="V31" s="86"/>
    </row>
    <row r="32" spans="1:22" x14ac:dyDescent="0.3">
      <c r="A32" s="100">
        <v>46192</v>
      </c>
      <c r="B32" s="101">
        <v>0.89583333333333337</v>
      </c>
      <c r="C32" s="102" t="s">
        <v>11</v>
      </c>
      <c r="D32" s="103">
        <v>4</v>
      </c>
      <c r="E32" s="103" t="s">
        <v>1</v>
      </c>
      <c r="F32" s="103">
        <v>0</v>
      </c>
      <c r="G32" s="102" t="s">
        <v>113</v>
      </c>
      <c r="K32" s="8" t="str">
        <f t="shared" si="3"/>
        <v>Brasil</v>
      </c>
      <c r="L32" s="9">
        <f t="shared" si="4"/>
        <v>4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R32" s="86"/>
      <c r="S32" s="48"/>
      <c r="T32" s="48"/>
      <c r="U32" s="48"/>
      <c r="V32" s="86"/>
    </row>
    <row r="33" spans="1:22" x14ac:dyDescent="0.3">
      <c r="A33" s="100">
        <v>46193</v>
      </c>
      <c r="B33" s="101">
        <v>4.1666666666666664E-2</v>
      </c>
      <c r="C33" s="102" t="s">
        <v>116</v>
      </c>
      <c r="D33" s="103">
        <v>1</v>
      </c>
      <c r="E33" s="103" t="s">
        <v>1</v>
      </c>
      <c r="F33" s="103">
        <v>1</v>
      </c>
      <c r="G33" s="102" t="s">
        <v>115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R33" s="86"/>
      <c r="S33" s="48"/>
      <c r="T33" s="48"/>
      <c r="U33" s="48"/>
      <c r="V33" s="86"/>
    </row>
    <row r="34" spans="1:22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1</v>
      </c>
      <c r="G34" s="102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R34" s="86"/>
      <c r="S34" s="48"/>
      <c r="T34" s="48"/>
      <c r="U34" s="48"/>
      <c r="V34" s="86"/>
    </row>
    <row r="35" spans="1:22" x14ac:dyDescent="0.3">
      <c r="A35" s="100">
        <v>46193</v>
      </c>
      <c r="B35" s="101">
        <v>0.70833333333333337</v>
      </c>
      <c r="C35" s="102" t="s">
        <v>12</v>
      </c>
      <c r="D35" s="103">
        <v>3</v>
      </c>
      <c r="E35" s="103" t="s">
        <v>1</v>
      </c>
      <c r="F35" s="103">
        <v>1</v>
      </c>
      <c r="G35" s="102" t="s">
        <v>118</v>
      </c>
      <c r="K35" s="8" t="str">
        <f t="shared" si="3"/>
        <v>Alemanha</v>
      </c>
      <c r="L35" s="9">
        <f t="shared" si="4"/>
        <v>3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R35" s="86"/>
      <c r="S35" s="48"/>
      <c r="T35" s="48"/>
      <c r="U35" s="48"/>
      <c r="V35" s="86"/>
    </row>
    <row r="36" spans="1:22" x14ac:dyDescent="0.3">
      <c r="A36" s="100">
        <v>46193</v>
      </c>
      <c r="B36" s="101">
        <v>0.875</v>
      </c>
      <c r="C36" s="102" t="s">
        <v>102</v>
      </c>
      <c r="D36" s="103">
        <v>3</v>
      </c>
      <c r="E36" s="103" t="s">
        <v>1</v>
      </c>
      <c r="F36" s="103">
        <v>0</v>
      </c>
      <c r="G36" s="102" t="s">
        <v>117</v>
      </c>
      <c r="K36" s="8" t="str">
        <f t="shared" si="3"/>
        <v>Equador</v>
      </c>
      <c r="L36" s="9">
        <f t="shared" si="4"/>
        <v>3</v>
      </c>
      <c r="M36" s="9">
        <f t="shared" si="5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R36" s="86"/>
      <c r="S36" s="48"/>
      <c r="T36" s="48"/>
      <c r="U36" s="48"/>
      <c r="V36" s="86"/>
    </row>
    <row r="37" spans="1:22" x14ac:dyDescent="0.3">
      <c r="A37" s="100">
        <v>46194</v>
      </c>
      <c r="B37" s="101">
        <v>4.1666666666666664E-2</v>
      </c>
      <c r="C37" s="102" t="s">
        <v>17</v>
      </c>
      <c r="D37" s="103">
        <v>0</v>
      </c>
      <c r="E37" s="103" t="s">
        <v>1</v>
      </c>
      <c r="F37" s="103">
        <v>2</v>
      </c>
      <c r="G37" s="102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0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4</v>
      </c>
      <c r="R37" s="86"/>
      <c r="S37" s="48"/>
      <c r="T37" s="48"/>
      <c r="U37" s="48"/>
      <c r="V37" s="86"/>
    </row>
    <row r="38" spans="1:22" x14ac:dyDescent="0.3">
      <c r="A38" s="100">
        <v>46194</v>
      </c>
      <c r="B38" s="101">
        <v>0.54166666666666663</v>
      </c>
      <c r="C38" s="102" t="s">
        <v>6</v>
      </c>
      <c r="D38" s="103">
        <v>3</v>
      </c>
      <c r="E38" s="103" t="s">
        <v>1</v>
      </c>
      <c r="F38" s="103">
        <v>0</v>
      </c>
      <c r="G38" s="102" t="s">
        <v>2</v>
      </c>
      <c r="K38" s="8" t="str">
        <f t="shared" si="3"/>
        <v>Espanha</v>
      </c>
      <c r="L38" s="9">
        <f t="shared" si="4"/>
        <v>3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R38" s="86"/>
      <c r="S38" s="48"/>
      <c r="T38" s="48"/>
      <c r="U38" s="48"/>
      <c r="V38" s="86"/>
    </row>
    <row r="39" spans="1:22" x14ac:dyDescent="0.3">
      <c r="A39" s="100">
        <v>46194</v>
      </c>
      <c r="B39" s="101">
        <v>0.66666666666666663</v>
      </c>
      <c r="C39" s="102" t="s">
        <v>16</v>
      </c>
      <c r="D39" s="103">
        <v>2</v>
      </c>
      <c r="E39" s="103" t="s">
        <v>1</v>
      </c>
      <c r="F39" s="103">
        <v>0</v>
      </c>
      <c r="G39" s="102" t="s">
        <v>103</v>
      </c>
      <c r="K39" s="8" t="str">
        <f t="shared" si="3"/>
        <v>Bélgica</v>
      </c>
      <c r="L39" s="9">
        <f t="shared" si="4"/>
        <v>2</v>
      </c>
      <c r="M39" s="9">
        <f t="shared" si="5"/>
        <v>0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R39" s="86"/>
      <c r="S39" s="48"/>
      <c r="T39" s="48"/>
      <c r="U39" s="48"/>
      <c r="V39" s="86"/>
    </row>
    <row r="40" spans="1:22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0</v>
      </c>
      <c r="G40" s="102" t="s">
        <v>121</v>
      </c>
      <c r="K40" s="8" t="str">
        <f t="shared" si="3"/>
        <v>Uruguai</v>
      </c>
      <c r="L40" s="9">
        <f t="shared" si="4"/>
        <v>2</v>
      </c>
      <c r="M40" s="9">
        <f t="shared" si="5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R40" s="86"/>
      <c r="S40" s="48"/>
      <c r="T40" s="48"/>
      <c r="U40" s="48"/>
      <c r="V40" s="86"/>
    </row>
    <row r="41" spans="1:22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1</v>
      </c>
      <c r="G41" s="102" t="s">
        <v>119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R41" s="86"/>
      <c r="S41" s="48"/>
      <c r="T41" s="48"/>
      <c r="U41" s="48"/>
      <c r="V41" s="86"/>
    </row>
    <row r="42" spans="1:22" x14ac:dyDescent="0.3">
      <c r="A42" s="100">
        <v>46195</v>
      </c>
      <c r="B42" s="101">
        <v>0.58333333333333337</v>
      </c>
      <c r="C42" s="102" t="s">
        <v>9</v>
      </c>
      <c r="D42" s="103">
        <v>2</v>
      </c>
      <c r="E42" s="103" t="s">
        <v>1</v>
      </c>
      <c r="F42" s="103">
        <v>1</v>
      </c>
      <c r="G42" s="102" t="s">
        <v>125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R42" s="86"/>
      <c r="S42" s="48"/>
      <c r="T42" s="48"/>
      <c r="U42" s="48"/>
      <c r="V42" s="86"/>
    </row>
    <row r="43" spans="1:22" x14ac:dyDescent="0.3">
      <c r="A43" s="100">
        <v>46195</v>
      </c>
      <c r="B43" s="101">
        <v>0.75</v>
      </c>
      <c r="C43" s="102" t="s">
        <v>7</v>
      </c>
      <c r="D43" s="103">
        <v>4</v>
      </c>
      <c r="E43" s="103" t="s">
        <v>1</v>
      </c>
      <c r="F43" s="103">
        <v>0</v>
      </c>
      <c r="G43" s="102" t="s">
        <v>122</v>
      </c>
      <c r="K43" s="8" t="str">
        <f t="shared" si="3"/>
        <v>França</v>
      </c>
      <c r="L43" s="9">
        <f t="shared" si="4"/>
        <v>4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4</v>
      </c>
      <c r="R43" s="86"/>
      <c r="S43" s="48"/>
      <c r="T43" s="48"/>
      <c r="U43" s="48"/>
      <c r="V43" s="86"/>
    </row>
    <row r="44" spans="1:22" x14ac:dyDescent="0.3">
      <c r="A44" s="100">
        <v>46195</v>
      </c>
      <c r="B44" s="101">
        <v>0.875</v>
      </c>
      <c r="C44" s="102" t="s">
        <v>123</v>
      </c>
      <c r="D44" s="103">
        <v>1</v>
      </c>
      <c r="E44" s="103" t="s">
        <v>1</v>
      </c>
      <c r="F44" s="103">
        <v>1</v>
      </c>
      <c r="G44" s="102" t="s">
        <v>20</v>
      </c>
      <c r="K44" s="8" t="str">
        <f t="shared" si="3"/>
        <v>EMPATE</v>
      </c>
      <c r="L44" s="9">
        <f t="shared" si="4"/>
        <v>1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0</v>
      </c>
      <c r="R44" s="86"/>
      <c r="S44" s="48"/>
      <c r="T44" s="48"/>
      <c r="U44" s="48"/>
      <c r="V44" s="86"/>
    </row>
    <row r="45" spans="1:22" x14ac:dyDescent="0.3">
      <c r="A45" s="100">
        <v>46196</v>
      </c>
      <c r="B45" s="101">
        <v>0</v>
      </c>
      <c r="C45" s="102" t="s">
        <v>126</v>
      </c>
      <c r="D45" s="103">
        <v>0</v>
      </c>
      <c r="E45" s="103" t="s">
        <v>1</v>
      </c>
      <c r="F45" s="103">
        <v>1</v>
      </c>
      <c r="G45" s="102" t="s">
        <v>124</v>
      </c>
      <c r="K45" s="8" t="str">
        <f t="shared" si="3"/>
        <v>Argélia</v>
      </c>
      <c r="L45" s="9">
        <f t="shared" si="4"/>
        <v>1</v>
      </c>
      <c r="M45" s="9">
        <f t="shared" si="5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3</v>
      </c>
      <c r="R45" s="86"/>
      <c r="S45" s="48"/>
      <c r="T45" s="48"/>
      <c r="U45" s="48"/>
      <c r="V45" s="86"/>
    </row>
    <row r="46" spans="1:22" ht="15" customHeight="1" x14ac:dyDescent="0.3">
      <c r="A46" s="100">
        <v>46196</v>
      </c>
      <c r="B46" s="101">
        <v>0.58333333333333337</v>
      </c>
      <c r="C46" s="102" t="s">
        <v>5</v>
      </c>
      <c r="D46" s="103">
        <v>3</v>
      </c>
      <c r="E46" s="103" t="s">
        <v>1</v>
      </c>
      <c r="F46" s="103">
        <v>0</v>
      </c>
      <c r="G46" s="102" t="s">
        <v>128</v>
      </c>
      <c r="K46" s="8" t="str">
        <f t="shared" si="3"/>
        <v>Portugal</v>
      </c>
      <c r="L46" s="9">
        <f t="shared" si="4"/>
        <v>3</v>
      </c>
      <c r="M46" s="9">
        <f t="shared" si="5"/>
        <v>0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4</v>
      </c>
      <c r="R46" s="86"/>
      <c r="S46" s="48"/>
      <c r="T46" s="48"/>
      <c r="U46" s="48"/>
      <c r="V46" s="86"/>
    </row>
    <row r="47" spans="1:22" x14ac:dyDescent="0.3">
      <c r="A47" s="100">
        <v>46196</v>
      </c>
      <c r="B47" s="101">
        <v>0.70833333333333337</v>
      </c>
      <c r="C47" s="102" t="s">
        <v>18</v>
      </c>
      <c r="D47" s="103">
        <v>2</v>
      </c>
      <c r="E47" s="103" t="s">
        <v>1</v>
      </c>
      <c r="F47" s="103">
        <v>1</v>
      </c>
      <c r="G47" s="102" t="s">
        <v>106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  <c r="R47" s="86"/>
      <c r="S47" s="48"/>
      <c r="T47" s="48"/>
      <c r="U47" s="48"/>
      <c r="V47" s="86"/>
    </row>
    <row r="48" spans="1:22" x14ac:dyDescent="0.3">
      <c r="A48" s="100">
        <v>46196</v>
      </c>
      <c r="B48" s="101">
        <v>0.83333333333333337</v>
      </c>
      <c r="C48" s="102" t="s">
        <v>130</v>
      </c>
      <c r="D48" s="103">
        <v>0</v>
      </c>
      <c r="E48" s="103" t="s">
        <v>1</v>
      </c>
      <c r="F48" s="103">
        <v>2</v>
      </c>
      <c r="G48" s="102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0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4</v>
      </c>
      <c r="R48" s="86"/>
      <c r="S48" s="48"/>
      <c r="T48" s="48"/>
      <c r="U48" s="48"/>
      <c r="V48" s="86"/>
    </row>
    <row r="49" spans="1:22" x14ac:dyDescent="0.3">
      <c r="A49" s="104">
        <v>46196</v>
      </c>
      <c r="B49" s="101">
        <v>0.95833333333333337</v>
      </c>
      <c r="C49" s="105" t="s">
        <v>129</v>
      </c>
      <c r="D49" s="106">
        <v>2</v>
      </c>
      <c r="E49" s="106" t="s">
        <v>1</v>
      </c>
      <c r="F49" s="106">
        <v>0</v>
      </c>
      <c r="G49" s="105" t="s">
        <v>127</v>
      </c>
      <c r="K49" s="8" t="str">
        <f t="shared" si="3"/>
        <v>Colômbia</v>
      </c>
      <c r="L49" s="9">
        <f t="shared" si="4"/>
        <v>2</v>
      </c>
      <c r="M49" s="9">
        <f t="shared" si="5"/>
        <v>0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4</v>
      </c>
      <c r="R49" s="86"/>
      <c r="S49" s="48"/>
      <c r="T49" s="48"/>
      <c r="U49" s="48"/>
      <c r="V49" s="86"/>
    </row>
    <row r="50" spans="1:22" x14ac:dyDescent="0.3">
      <c r="A50" s="56">
        <v>46197</v>
      </c>
      <c r="B50" s="54">
        <v>0.66666666666666663</v>
      </c>
      <c r="C50" s="57" t="s">
        <v>72</v>
      </c>
      <c r="D50" s="58">
        <v>1</v>
      </c>
      <c r="E50" s="58" t="s">
        <v>1</v>
      </c>
      <c r="F50" s="58">
        <v>0</v>
      </c>
      <c r="G50" s="57" t="s">
        <v>105</v>
      </c>
      <c r="K50" s="8" t="str">
        <f t="shared" si="3"/>
        <v>Suíça</v>
      </c>
      <c r="L50" s="9">
        <f t="shared" si="4"/>
        <v>1</v>
      </c>
      <c r="M50" s="9">
        <f t="shared" si="5"/>
        <v>0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3</v>
      </c>
      <c r="Q50" s="86"/>
      <c r="R50" s="48"/>
      <c r="S50" s="48"/>
      <c r="T50" s="48"/>
      <c r="U50" s="86"/>
    </row>
    <row r="51" spans="1:22" x14ac:dyDescent="0.3">
      <c r="A51" s="56">
        <v>46197</v>
      </c>
      <c r="B51" s="54">
        <v>0.66666666666666663</v>
      </c>
      <c r="C51" s="57" t="s">
        <v>112</v>
      </c>
      <c r="D51" s="58">
        <v>1</v>
      </c>
      <c r="E51" s="58" t="s">
        <v>1</v>
      </c>
      <c r="F51" s="58">
        <v>0</v>
      </c>
      <c r="G51" s="57" t="s">
        <v>97</v>
      </c>
      <c r="K51" s="8" t="str">
        <f t="shared" si="3"/>
        <v>Bósnia</v>
      </c>
      <c r="L51" s="9">
        <f t="shared" si="4"/>
        <v>1</v>
      </c>
      <c r="M51" s="9">
        <f t="shared" si="5"/>
        <v>0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3</v>
      </c>
      <c r="Q51" s="86"/>
      <c r="R51" s="48"/>
      <c r="S51" s="48"/>
      <c r="T51" s="48"/>
      <c r="U51" s="86"/>
    </row>
    <row r="52" spans="1:22" x14ac:dyDescent="0.3">
      <c r="A52" s="56">
        <v>46197</v>
      </c>
      <c r="B52" s="54">
        <v>0.79166666666666663</v>
      </c>
      <c r="C52" s="59" t="s">
        <v>4</v>
      </c>
      <c r="D52" s="58">
        <v>2</v>
      </c>
      <c r="E52" s="58" t="s">
        <v>1</v>
      </c>
      <c r="F52" s="58">
        <v>0</v>
      </c>
      <c r="G52" s="59" t="s">
        <v>113</v>
      </c>
      <c r="K52" s="8" t="str">
        <f t="shared" si="3"/>
        <v>Marrocos</v>
      </c>
      <c r="L52" s="9">
        <f t="shared" si="4"/>
        <v>2</v>
      </c>
      <c r="M52" s="9">
        <f t="shared" si="5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</row>
    <row r="53" spans="1:22" x14ac:dyDescent="0.3">
      <c r="A53" s="56">
        <v>46197</v>
      </c>
      <c r="B53" s="54">
        <v>0.79166666666666663</v>
      </c>
      <c r="C53" s="59" t="s">
        <v>114</v>
      </c>
      <c r="D53" s="58">
        <v>0</v>
      </c>
      <c r="E53" s="58" t="s">
        <v>1</v>
      </c>
      <c r="F53" s="58">
        <v>2</v>
      </c>
      <c r="G53" s="59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0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4</v>
      </c>
      <c r="Q53" s="117"/>
      <c r="R53" s="48"/>
      <c r="S53" s="48"/>
      <c r="T53" s="48"/>
      <c r="U53" s="117"/>
    </row>
    <row r="54" spans="1:22" x14ac:dyDescent="0.3">
      <c r="A54" s="53">
        <v>46197</v>
      </c>
      <c r="B54" s="54">
        <v>0.91666666666666663</v>
      </c>
      <c r="C54" s="55" t="s">
        <v>88</v>
      </c>
      <c r="D54" s="46">
        <v>1</v>
      </c>
      <c r="E54" s="46" t="s">
        <v>1</v>
      </c>
      <c r="F54" s="46">
        <v>1</v>
      </c>
      <c r="G54" s="55" t="s">
        <v>15</v>
      </c>
      <c r="K54" s="8" t="str">
        <f t="shared" si="3"/>
        <v>EMPATE</v>
      </c>
      <c r="L54" s="9">
        <f t="shared" si="4"/>
        <v>1</v>
      </c>
      <c r="M54" s="9">
        <f t="shared" si="5"/>
        <v>1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</row>
    <row r="55" spans="1:22" x14ac:dyDescent="0.3">
      <c r="A55" s="53">
        <v>46197</v>
      </c>
      <c r="B55" s="54">
        <v>0.91666666666666663</v>
      </c>
      <c r="C55" s="55" t="s">
        <v>111</v>
      </c>
      <c r="D55" s="46">
        <v>1</v>
      </c>
      <c r="E55" s="46" t="s">
        <v>1</v>
      </c>
      <c r="F55" s="46">
        <v>1</v>
      </c>
      <c r="G55" s="55" t="s">
        <v>13</v>
      </c>
      <c r="K55" s="8" t="str">
        <f t="shared" si="3"/>
        <v>EMPATE</v>
      </c>
      <c r="L55" s="9">
        <f t="shared" si="4"/>
        <v>1</v>
      </c>
      <c r="M55" s="9">
        <f t="shared" si="5"/>
        <v>1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0</v>
      </c>
      <c r="Q55" s="86"/>
      <c r="R55" s="48"/>
      <c r="S55" s="48"/>
      <c r="T55" s="48"/>
      <c r="U55" s="86"/>
    </row>
    <row r="56" spans="1:22" x14ac:dyDescent="0.3">
      <c r="A56" s="53">
        <v>46198</v>
      </c>
      <c r="B56" s="54">
        <v>0.70833333333333337</v>
      </c>
      <c r="C56" s="45" t="s">
        <v>102</v>
      </c>
      <c r="D56" s="46">
        <v>1</v>
      </c>
      <c r="E56" s="46" t="s">
        <v>1</v>
      </c>
      <c r="F56" s="46">
        <v>2</v>
      </c>
      <c r="G56" s="45" t="s">
        <v>12</v>
      </c>
      <c r="K56" s="8" t="str">
        <f t="shared" si="3"/>
        <v>Alemanha</v>
      </c>
      <c r="L56" s="9">
        <f t="shared" si="4"/>
        <v>2</v>
      </c>
      <c r="M56" s="9">
        <f t="shared" si="5"/>
        <v>1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</row>
    <row r="57" spans="1:22" x14ac:dyDescent="0.3">
      <c r="A57" s="53">
        <v>46198</v>
      </c>
      <c r="B57" s="54">
        <v>0.70833333333333337</v>
      </c>
      <c r="C57" s="45" t="s">
        <v>117</v>
      </c>
      <c r="D57" s="46">
        <v>0</v>
      </c>
      <c r="E57" s="46" t="s">
        <v>1</v>
      </c>
      <c r="F57" s="46">
        <v>2</v>
      </c>
      <c r="G57" s="45" t="s">
        <v>118</v>
      </c>
      <c r="K57" s="8" t="str">
        <f t="shared" si="3"/>
        <v>Costa do Marfim</v>
      </c>
      <c r="L57" s="9">
        <f t="shared" si="4"/>
        <v>2</v>
      </c>
      <c r="M57" s="9">
        <f t="shared" si="5"/>
        <v>0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9</v>
      </c>
      <c r="Q57" s="117"/>
      <c r="R57" s="48"/>
      <c r="S57" s="48"/>
      <c r="T57" s="48"/>
      <c r="U57" s="117"/>
    </row>
    <row r="58" spans="1:22" x14ac:dyDescent="0.3">
      <c r="A58" s="53">
        <v>46198</v>
      </c>
      <c r="B58" s="54">
        <v>0.83333333333333337</v>
      </c>
      <c r="C58" s="45" t="s">
        <v>17</v>
      </c>
      <c r="D58" s="46">
        <v>0</v>
      </c>
      <c r="E58" s="46" t="s">
        <v>1</v>
      </c>
      <c r="F58" s="46">
        <v>2</v>
      </c>
      <c r="G58" s="45" t="s">
        <v>78</v>
      </c>
      <c r="K58" s="8" t="str">
        <f t="shared" si="3"/>
        <v>Holanda</v>
      </c>
      <c r="L58" s="9">
        <f t="shared" si="4"/>
        <v>2</v>
      </c>
      <c r="M58" s="9">
        <f t="shared" si="5"/>
        <v>0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3</v>
      </c>
      <c r="Q58" s="117"/>
      <c r="R58" s="48"/>
      <c r="S58" s="48"/>
      <c r="T58" s="48"/>
      <c r="U58" s="117"/>
    </row>
    <row r="59" spans="1:22" x14ac:dyDescent="0.3">
      <c r="A59" s="53">
        <v>46198</v>
      </c>
      <c r="B59" s="54">
        <v>0.83333333333333337</v>
      </c>
      <c r="C59" s="45" t="s">
        <v>19</v>
      </c>
      <c r="D59" s="46">
        <v>1</v>
      </c>
      <c r="E59" s="46" t="s">
        <v>1</v>
      </c>
      <c r="F59" s="46">
        <v>1</v>
      </c>
      <c r="G59" s="45" t="s">
        <v>14</v>
      </c>
      <c r="K59" s="8" t="str">
        <f t="shared" si="3"/>
        <v>EMPATE</v>
      </c>
      <c r="L59" s="9">
        <f t="shared" si="4"/>
        <v>1</v>
      </c>
      <c r="M59" s="9">
        <f t="shared" si="5"/>
        <v>1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9</v>
      </c>
      <c r="Q59" s="117"/>
      <c r="R59" s="48"/>
      <c r="S59" s="48"/>
      <c r="T59" s="48"/>
      <c r="U59" s="117"/>
    </row>
    <row r="60" spans="1:22" x14ac:dyDescent="0.3">
      <c r="A60" s="53">
        <v>46198</v>
      </c>
      <c r="B60" s="54">
        <v>0.95833333333333337</v>
      </c>
      <c r="C60" s="45" t="s">
        <v>116</v>
      </c>
      <c r="D60" s="46">
        <v>1</v>
      </c>
      <c r="E60" s="46" t="s">
        <v>1</v>
      </c>
      <c r="F60" s="46">
        <v>1</v>
      </c>
      <c r="G60" s="45" t="s">
        <v>104</v>
      </c>
      <c r="K60" s="8" t="str">
        <f t="shared" si="3"/>
        <v>EMPATE</v>
      </c>
      <c r="L60" s="9">
        <f t="shared" si="4"/>
        <v>1</v>
      </c>
      <c r="M60" s="9">
        <f t="shared" si="5"/>
        <v>1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</row>
    <row r="61" spans="1:22" x14ac:dyDescent="0.3">
      <c r="A61" s="53">
        <v>46198</v>
      </c>
      <c r="B61" s="54">
        <v>0.95833333333333337</v>
      </c>
      <c r="C61" s="45" t="s">
        <v>115</v>
      </c>
      <c r="D61" s="46">
        <v>1</v>
      </c>
      <c r="E61" s="46" t="s">
        <v>1</v>
      </c>
      <c r="F61" s="46">
        <v>1</v>
      </c>
      <c r="G61" s="45" t="s">
        <v>8</v>
      </c>
      <c r="K61" s="8" t="str">
        <f t="shared" si="3"/>
        <v>EMPATE</v>
      </c>
      <c r="L61" s="9">
        <f t="shared" si="4"/>
        <v>1</v>
      </c>
      <c r="M61" s="9">
        <f t="shared" si="5"/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6</v>
      </c>
      <c r="Q61" s="117"/>
      <c r="R61" s="48"/>
      <c r="S61" s="48"/>
      <c r="T61" s="48"/>
      <c r="U61" s="117"/>
    </row>
    <row r="62" spans="1:22" x14ac:dyDescent="0.3">
      <c r="A62" s="53">
        <v>46199</v>
      </c>
      <c r="B62" s="54">
        <v>0.66666666666666663</v>
      </c>
      <c r="C62" s="45" t="s">
        <v>20</v>
      </c>
      <c r="D62" s="46">
        <v>2</v>
      </c>
      <c r="E62" s="46" t="s">
        <v>1</v>
      </c>
      <c r="F62" s="46">
        <v>0</v>
      </c>
      <c r="G62" s="45" t="s">
        <v>122</v>
      </c>
      <c r="K62" s="8" t="str">
        <f t="shared" si="3"/>
        <v>Senegal</v>
      </c>
      <c r="L62" s="9">
        <f t="shared" si="4"/>
        <v>2</v>
      </c>
      <c r="M62" s="9">
        <f t="shared" si="5"/>
        <v>0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4</v>
      </c>
      <c r="Q62" s="117"/>
      <c r="R62" s="48"/>
      <c r="S62" s="48"/>
      <c r="T62" s="48"/>
      <c r="U62" s="117"/>
    </row>
    <row r="63" spans="1:22" x14ac:dyDescent="0.3">
      <c r="A63" s="53">
        <v>46199</v>
      </c>
      <c r="B63" s="54">
        <v>0.66666666666666663</v>
      </c>
      <c r="C63" s="45" t="s">
        <v>123</v>
      </c>
      <c r="D63" s="46">
        <v>1</v>
      </c>
      <c r="E63" s="46" t="s">
        <v>1</v>
      </c>
      <c r="F63" s="46">
        <v>2</v>
      </c>
      <c r="G63" s="45" t="s">
        <v>7</v>
      </c>
      <c r="K63" s="8" t="str">
        <f t="shared" si="3"/>
        <v>França</v>
      </c>
      <c r="L63" s="9">
        <f t="shared" si="4"/>
        <v>2</v>
      </c>
      <c r="M63" s="9">
        <f t="shared" si="5"/>
        <v>1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4</v>
      </c>
      <c r="Q63" s="117"/>
      <c r="R63" s="48"/>
      <c r="S63" s="48"/>
      <c r="T63" s="48"/>
      <c r="U63" s="117"/>
    </row>
    <row r="64" spans="1:22" x14ac:dyDescent="0.3">
      <c r="A64" s="53">
        <v>46199</v>
      </c>
      <c r="B64" s="54">
        <v>0.875</v>
      </c>
      <c r="C64" s="45" t="s">
        <v>121</v>
      </c>
      <c r="D64" s="46">
        <v>1</v>
      </c>
      <c r="E64" s="46" t="s">
        <v>1</v>
      </c>
      <c r="F64" s="46">
        <v>1</v>
      </c>
      <c r="G64" s="45" t="s">
        <v>2</v>
      </c>
      <c r="K64" s="8" t="str">
        <f t="shared" si="3"/>
        <v>EMPATE</v>
      </c>
      <c r="L64" s="9">
        <f t="shared" si="4"/>
        <v>1</v>
      </c>
      <c r="M64" s="9">
        <f t="shared" si="5"/>
        <v>1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6</v>
      </c>
      <c r="Q64" s="117"/>
      <c r="R64" s="48"/>
      <c r="S64" s="48"/>
      <c r="T64" s="48"/>
      <c r="U64" s="117"/>
    </row>
    <row r="65" spans="1:26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2</v>
      </c>
      <c r="G65" s="45" t="s">
        <v>6</v>
      </c>
      <c r="K65" s="8" t="str">
        <f t="shared" si="3"/>
        <v>Espanha</v>
      </c>
      <c r="L65" s="9">
        <f t="shared" si="4"/>
        <v>2</v>
      </c>
      <c r="M65" s="9">
        <f t="shared" si="5"/>
        <v>1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3</v>
      </c>
      <c r="Q65" s="117"/>
      <c r="R65" s="48"/>
      <c r="S65" s="48"/>
      <c r="T65" s="48"/>
      <c r="U65" s="117"/>
    </row>
    <row r="66" spans="1:26" x14ac:dyDescent="0.3">
      <c r="A66" s="53">
        <v>46200</v>
      </c>
      <c r="B66" s="54">
        <v>0</v>
      </c>
      <c r="C66" s="45" t="s">
        <v>119</v>
      </c>
      <c r="D66" s="46">
        <v>1</v>
      </c>
      <c r="E66" s="46" t="s">
        <v>1</v>
      </c>
      <c r="F66" s="46">
        <v>0</v>
      </c>
      <c r="G66" s="45" t="s">
        <v>103</v>
      </c>
      <c r="K66" s="8" t="str">
        <f t="shared" si="3"/>
        <v>Egito</v>
      </c>
      <c r="L66" s="9">
        <f t="shared" si="4"/>
        <v>1</v>
      </c>
      <c r="M66" s="9">
        <f t="shared" si="5"/>
        <v>0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0</v>
      </c>
      <c r="Q66" s="117"/>
      <c r="R66" s="48"/>
      <c r="S66" s="48"/>
      <c r="T66" s="48"/>
      <c r="U66" s="117"/>
    </row>
    <row r="67" spans="1:26" x14ac:dyDescent="0.3">
      <c r="A67" s="53">
        <v>46200</v>
      </c>
      <c r="B67" s="54">
        <v>0</v>
      </c>
      <c r="C67" s="45" t="s">
        <v>120</v>
      </c>
      <c r="D67" s="46">
        <v>1</v>
      </c>
      <c r="E67" s="46" t="s">
        <v>1</v>
      </c>
      <c r="F67" s="46">
        <v>2</v>
      </c>
      <c r="G67" s="45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1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4</v>
      </c>
      <c r="Q67" s="117"/>
      <c r="R67" s="48"/>
      <c r="S67" s="48"/>
      <c r="T67" s="48"/>
      <c r="U67" s="117"/>
    </row>
    <row r="68" spans="1:26" x14ac:dyDescent="0.3">
      <c r="A68" s="53">
        <v>46200</v>
      </c>
      <c r="B68" s="54">
        <v>0.75</v>
      </c>
      <c r="C68" s="45" t="s">
        <v>10</v>
      </c>
      <c r="D68" s="46">
        <v>1</v>
      </c>
      <c r="E68" s="46" t="s">
        <v>1</v>
      </c>
      <c r="F68" s="46">
        <v>1</v>
      </c>
      <c r="G68" s="45" t="s">
        <v>106</v>
      </c>
      <c r="K68" s="8" t="str">
        <f t="shared" ref="K68:K72" si="7">IF(D68="","",IF(D68&gt;F68,C68,IF(F68&gt;D68,G68,"EMPATE")))</f>
        <v>EMPATE</v>
      </c>
      <c r="L68" s="9">
        <f t="shared" ref="L68:L72" si="8">IF(D68="","",IF(D68&gt;F68,D68,IF(F68&gt;D68,F68,D68)))</f>
        <v>1</v>
      </c>
      <c r="M68" s="9">
        <f t="shared" ref="M68:M72" si="9">IF(D68="","",IF(D68&lt;F68,D68,IF(F68&lt;D68,F68,D68)))</f>
        <v>1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0</v>
      </c>
      <c r="Q68" s="117"/>
      <c r="R68" s="48"/>
      <c r="S68" s="48"/>
      <c r="T68" s="48"/>
      <c r="U68" s="117"/>
    </row>
    <row r="69" spans="1:26" x14ac:dyDescent="0.3">
      <c r="A69" s="53">
        <v>46200</v>
      </c>
      <c r="B69" s="54">
        <v>0.75</v>
      </c>
      <c r="C69" s="45" t="s">
        <v>130</v>
      </c>
      <c r="D69" s="46">
        <v>0</v>
      </c>
      <c r="E69" s="46" t="s">
        <v>1</v>
      </c>
      <c r="F69" s="46">
        <v>2</v>
      </c>
      <c r="G69" s="45" t="s">
        <v>18</v>
      </c>
      <c r="K69" s="8" t="str">
        <f t="shared" si="7"/>
        <v>Inglaterra</v>
      </c>
      <c r="L69" s="9">
        <f t="shared" si="8"/>
        <v>2</v>
      </c>
      <c r="M69" s="9">
        <f t="shared" si="9"/>
        <v>0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9</v>
      </c>
      <c r="Q69" s="117"/>
      <c r="R69" s="48"/>
      <c r="S69" s="48"/>
      <c r="T69" s="48"/>
      <c r="U69" s="117"/>
    </row>
    <row r="70" spans="1:26" x14ac:dyDescent="0.3">
      <c r="A70" s="53">
        <v>46200</v>
      </c>
      <c r="B70" s="54">
        <v>0.85416666666666663</v>
      </c>
      <c r="C70" s="45" t="s">
        <v>127</v>
      </c>
      <c r="D70" s="46">
        <v>1</v>
      </c>
      <c r="E70" s="46" t="s">
        <v>1</v>
      </c>
      <c r="F70" s="46">
        <v>1</v>
      </c>
      <c r="G70" s="45" t="s">
        <v>128</v>
      </c>
      <c r="K70" s="8" t="str">
        <f t="shared" si="7"/>
        <v>EMPATE</v>
      </c>
      <c r="L70" s="9">
        <f t="shared" si="8"/>
        <v>1</v>
      </c>
      <c r="M70" s="9">
        <f t="shared" si="9"/>
        <v>1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0</v>
      </c>
      <c r="Q70" s="117"/>
      <c r="R70" s="48"/>
      <c r="S70" s="48"/>
      <c r="T70" s="48"/>
      <c r="U70" s="117"/>
    </row>
    <row r="71" spans="1:26" x14ac:dyDescent="0.3">
      <c r="A71" s="53">
        <v>46200</v>
      </c>
      <c r="B71" s="54">
        <v>0.85416666666666663</v>
      </c>
      <c r="C71" s="45" t="s">
        <v>129</v>
      </c>
      <c r="D71" s="46">
        <v>1</v>
      </c>
      <c r="E71" s="46" t="s">
        <v>1</v>
      </c>
      <c r="F71" s="46">
        <v>2</v>
      </c>
      <c r="G71" s="45" t="s">
        <v>5</v>
      </c>
      <c r="K71" s="8" t="str">
        <f t="shared" si="7"/>
        <v>Portugal</v>
      </c>
      <c r="L71" s="9">
        <f t="shared" si="8"/>
        <v>2</v>
      </c>
      <c r="M71" s="9">
        <f t="shared" si="9"/>
        <v>1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0</v>
      </c>
      <c r="Q71" s="117"/>
      <c r="R71" s="48"/>
      <c r="S71" s="48"/>
      <c r="T71" s="48"/>
      <c r="U71" s="117"/>
    </row>
    <row r="72" spans="1:26" x14ac:dyDescent="0.3">
      <c r="A72" s="53">
        <v>46200</v>
      </c>
      <c r="B72" s="54">
        <v>0.95833333333333337</v>
      </c>
      <c r="C72" s="45" t="s">
        <v>126</v>
      </c>
      <c r="D72" s="46">
        <v>0</v>
      </c>
      <c r="E72" s="46" t="s">
        <v>1</v>
      </c>
      <c r="F72" s="46">
        <v>2</v>
      </c>
      <c r="G72" s="45" t="s">
        <v>9</v>
      </c>
      <c r="K72" s="8" t="str">
        <f t="shared" si="7"/>
        <v>Argentina</v>
      </c>
      <c r="L72" s="9">
        <f t="shared" si="8"/>
        <v>2</v>
      </c>
      <c r="M72" s="9">
        <f t="shared" si="9"/>
        <v>0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3</v>
      </c>
      <c r="Q72" s="117"/>
      <c r="R72" s="48"/>
      <c r="S72" s="48"/>
      <c r="T72" s="48"/>
      <c r="U72" s="117"/>
    </row>
    <row r="73" spans="1:26" x14ac:dyDescent="0.3">
      <c r="A73" s="53">
        <v>46200</v>
      </c>
      <c r="B73" s="54">
        <v>0.95833333333333337</v>
      </c>
      <c r="C73" s="45" t="s">
        <v>124</v>
      </c>
      <c r="D73" s="46">
        <v>1</v>
      </c>
      <c r="E73" s="46" t="s">
        <v>1</v>
      </c>
      <c r="F73" s="46">
        <v>1</v>
      </c>
      <c r="G73" s="45" t="s">
        <v>125</v>
      </c>
      <c r="K73" s="8" t="str">
        <f t="shared" ref="K73:K105" si="10">IF(D73="","",IF(D73&gt;F73,C73,IF(F73&gt;D73,G73,"EMPATE")))</f>
        <v>EMPATE</v>
      </c>
      <c r="L73" s="9">
        <f t="shared" ref="L73:L105" si="11">IF(D73="","",IF(D73&gt;F73,D73,IF(F73&gt;D73,F73,D73)))</f>
        <v>1</v>
      </c>
      <c r="M73" s="9">
        <f t="shared" ref="M73:M105" si="12">IF(D73="","",IF(D73&lt;F73,D73,IF(F73&lt;D73,F73,D73)))</f>
        <v>1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6</v>
      </c>
      <c r="Q73" s="117"/>
      <c r="R73" s="48"/>
      <c r="S73" s="48"/>
      <c r="T73" s="48"/>
      <c r="U73" s="117"/>
    </row>
    <row r="74" spans="1:26" x14ac:dyDescent="0.3">
      <c r="A74" s="60">
        <v>46201</v>
      </c>
      <c r="B74" s="61">
        <v>0.66666666666666663</v>
      </c>
      <c r="C74" s="62" t="s">
        <v>88</v>
      </c>
      <c r="D74" s="63">
        <v>2</v>
      </c>
      <c r="E74" s="63" t="s">
        <v>1</v>
      </c>
      <c r="F74" s="63">
        <v>1</v>
      </c>
      <c r="G74" s="62" t="s">
        <v>105</v>
      </c>
      <c r="K74" s="8" t="str">
        <f t="shared" si="10"/>
        <v>África do Sul</v>
      </c>
      <c r="L74" s="9">
        <f t="shared" si="11"/>
        <v>2</v>
      </c>
      <c r="M74" s="9">
        <f t="shared" si="12"/>
        <v>1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62" t="s">
        <v>88</v>
      </c>
      <c r="R74" s="63">
        <v>2</v>
      </c>
      <c r="S74" s="63" t="s">
        <v>1</v>
      </c>
      <c r="T74" s="63">
        <v>1</v>
      </c>
      <c r="U74" s="62" t="s">
        <v>105</v>
      </c>
      <c r="V74" t="b">
        <f>Q74=C74</f>
        <v>1</v>
      </c>
      <c r="Z74" t="b">
        <f>U74=G74</f>
        <v>1</v>
      </c>
    </row>
    <row r="75" spans="1:26" x14ac:dyDescent="0.3">
      <c r="A75" s="60">
        <v>46202</v>
      </c>
      <c r="B75" s="61">
        <v>0.58333333333333337</v>
      </c>
      <c r="C75" s="62" t="s">
        <v>11</v>
      </c>
      <c r="D75" s="63">
        <v>4</v>
      </c>
      <c r="E75" s="63" t="s">
        <v>1</v>
      </c>
      <c r="F75" s="63">
        <v>1</v>
      </c>
      <c r="G75" s="62" t="s">
        <v>19</v>
      </c>
      <c r="K75" s="8" t="str">
        <f t="shared" si="10"/>
        <v>Brasil</v>
      </c>
      <c r="L75" s="9">
        <f t="shared" si="11"/>
        <v>4</v>
      </c>
      <c r="M75" s="9">
        <f t="shared" si="12"/>
        <v>1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62" t="s">
        <v>11</v>
      </c>
      <c r="R75" s="63">
        <v>4</v>
      </c>
      <c r="S75" s="63" t="s">
        <v>1</v>
      </c>
      <c r="T75" s="63">
        <v>1</v>
      </c>
      <c r="U75" s="62" t="s">
        <v>19</v>
      </c>
      <c r="V75" t="b">
        <f t="shared" ref="V75:V89" si="13">Q75=C75</f>
        <v>1</v>
      </c>
      <c r="Z75" t="b">
        <f t="shared" ref="Z75:Z89" si="14">U75=G75</f>
        <v>1</v>
      </c>
    </row>
    <row r="76" spans="1:26" x14ac:dyDescent="0.3">
      <c r="A76" s="60">
        <v>46202</v>
      </c>
      <c r="B76" s="61">
        <v>0.72916666666666663</v>
      </c>
      <c r="C76" s="62" t="s">
        <v>12</v>
      </c>
      <c r="D76" s="63">
        <v>5</v>
      </c>
      <c r="E76" s="63" t="s">
        <v>1</v>
      </c>
      <c r="F76" s="63">
        <v>1</v>
      </c>
      <c r="G76" s="62" t="s">
        <v>115</v>
      </c>
      <c r="K76" s="8" t="str">
        <f t="shared" si="10"/>
        <v>Alemanha</v>
      </c>
      <c r="L76" s="9">
        <f t="shared" si="11"/>
        <v>5</v>
      </c>
      <c r="M76" s="9">
        <f t="shared" si="12"/>
        <v>1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62" t="s">
        <v>12</v>
      </c>
      <c r="R76" s="63">
        <v>5</v>
      </c>
      <c r="S76" s="63" t="s">
        <v>1</v>
      </c>
      <c r="T76" s="63">
        <v>1</v>
      </c>
      <c r="U76" s="62" t="s">
        <v>115</v>
      </c>
      <c r="V76" t="b">
        <f t="shared" si="13"/>
        <v>1</v>
      </c>
      <c r="Z76" t="b">
        <f t="shared" si="14"/>
        <v>1</v>
      </c>
    </row>
    <row r="77" spans="1:26" x14ac:dyDescent="0.3">
      <c r="A77" s="60">
        <v>46202</v>
      </c>
      <c r="B77" s="61">
        <v>0.91666666666666663</v>
      </c>
      <c r="C77" s="62" t="s">
        <v>78</v>
      </c>
      <c r="D77" s="63">
        <v>3</v>
      </c>
      <c r="E77" s="63" t="s">
        <v>1</v>
      </c>
      <c r="F77" s="63">
        <v>2</v>
      </c>
      <c r="G77" s="62" t="s">
        <v>4</v>
      </c>
      <c r="K77" s="8" t="str">
        <f t="shared" si="10"/>
        <v>Holanda</v>
      </c>
      <c r="L77" s="9">
        <f t="shared" si="11"/>
        <v>3</v>
      </c>
      <c r="M77" s="9">
        <f t="shared" si="12"/>
        <v>2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62" t="s">
        <v>78</v>
      </c>
      <c r="R77" s="63">
        <v>3</v>
      </c>
      <c r="S77" s="63" t="s">
        <v>1</v>
      </c>
      <c r="T77" s="63">
        <v>2</v>
      </c>
      <c r="U77" s="62" t="s">
        <v>4</v>
      </c>
      <c r="V77" t="b">
        <f t="shared" si="13"/>
        <v>1</v>
      </c>
      <c r="Z77" t="b">
        <f t="shared" si="14"/>
        <v>1</v>
      </c>
    </row>
    <row r="78" spans="1:26" x14ac:dyDescent="0.3">
      <c r="A78" s="60">
        <v>46203</v>
      </c>
      <c r="B78" s="61">
        <v>0.58333333333333337</v>
      </c>
      <c r="C78" s="62" t="s">
        <v>118</v>
      </c>
      <c r="D78" s="63">
        <v>1</v>
      </c>
      <c r="E78" s="63" t="s">
        <v>1</v>
      </c>
      <c r="F78" s="63">
        <v>3</v>
      </c>
      <c r="G78" s="62" t="s">
        <v>123</v>
      </c>
      <c r="K78" s="8" t="str">
        <f t="shared" si="10"/>
        <v>Noruega</v>
      </c>
      <c r="L78" s="9">
        <f t="shared" si="11"/>
        <v>3</v>
      </c>
      <c r="M78" s="9">
        <f t="shared" si="12"/>
        <v>1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62" t="s">
        <v>118</v>
      </c>
      <c r="R78" s="63">
        <v>1</v>
      </c>
      <c r="S78" s="63" t="s">
        <v>1</v>
      </c>
      <c r="T78" s="63">
        <v>3</v>
      </c>
      <c r="U78" s="62" t="s">
        <v>123</v>
      </c>
      <c r="V78" t="b">
        <f t="shared" si="13"/>
        <v>1</v>
      </c>
      <c r="Z78" t="b">
        <f t="shared" si="14"/>
        <v>1</v>
      </c>
    </row>
    <row r="79" spans="1:26" x14ac:dyDescent="0.3">
      <c r="A79" s="60">
        <v>46203</v>
      </c>
      <c r="B79" s="61">
        <v>0.75</v>
      </c>
      <c r="C79" s="62" t="s">
        <v>7</v>
      </c>
      <c r="D79" s="63">
        <v>4</v>
      </c>
      <c r="E79" s="63" t="s">
        <v>1</v>
      </c>
      <c r="F79" s="63">
        <v>1</v>
      </c>
      <c r="G79" s="62" t="s">
        <v>14</v>
      </c>
      <c r="K79" s="8" t="str">
        <f t="shared" si="10"/>
        <v>França</v>
      </c>
      <c r="L79" s="9">
        <f t="shared" si="11"/>
        <v>4</v>
      </c>
      <c r="M79" s="9">
        <f t="shared" si="12"/>
        <v>1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62" t="s">
        <v>7</v>
      </c>
      <c r="R79" s="63">
        <v>4</v>
      </c>
      <c r="S79" s="63" t="s">
        <v>1</v>
      </c>
      <c r="T79" s="63">
        <v>1</v>
      </c>
      <c r="U79" s="62" t="s">
        <v>14</v>
      </c>
      <c r="V79" t="b">
        <f t="shared" si="13"/>
        <v>1</v>
      </c>
      <c r="Z79" t="b">
        <f t="shared" si="14"/>
        <v>1</v>
      </c>
    </row>
    <row r="80" spans="1:26" x14ac:dyDescent="0.3">
      <c r="A80" s="60">
        <v>46203</v>
      </c>
      <c r="B80" s="61">
        <v>0.91666666666666663</v>
      </c>
      <c r="C80" s="62" t="s">
        <v>13</v>
      </c>
      <c r="D80" s="63">
        <v>2</v>
      </c>
      <c r="E80" s="63" t="s">
        <v>1</v>
      </c>
      <c r="F80" s="63">
        <v>1</v>
      </c>
      <c r="G80" s="62" t="s">
        <v>102</v>
      </c>
      <c r="K80" s="8" t="str">
        <f t="shared" si="10"/>
        <v>México</v>
      </c>
      <c r="L80" s="9">
        <f t="shared" si="11"/>
        <v>2</v>
      </c>
      <c r="M80" s="9">
        <f t="shared" si="12"/>
        <v>1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62" t="s">
        <v>13</v>
      </c>
      <c r="R80" s="63">
        <v>2</v>
      </c>
      <c r="S80" s="63" t="s">
        <v>1</v>
      </c>
      <c r="T80" s="63">
        <v>1</v>
      </c>
      <c r="U80" s="62" t="s">
        <v>102</v>
      </c>
      <c r="V80" t="b">
        <f t="shared" si="13"/>
        <v>1</v>
      </c>
      <c r="Z80" t="b">
        <f t="shared" si="14"/>
        <v>1</v>
      </c>
    </row>
    <row r="81" spans="1:26" x14ac:dyDescent="0.3">
      <c r="A81" s="60">
        <v>46204</v>
      </c>
      <c r="B81" s="61">
        <v>0.54166666666666663</v>
      </c>
      <c r="C81" s="62" t="s">
        <v>18</v>
      </c>
      <c r="D81" s="63">
        <v>2</v>
      </c>
      <c r="E81" s="63" t="s">
        <v>1</v>
      </c>
      <c r="F81" s="63">
        <v>0</v>
      </c>
      <c r="G81" s="62" t="s">
        <v>127</v>
      </c>
      <c r="K81" s="8" t="str">
        <f t="shared" si="10"/>
        <v>Inglaterra</v>
      </c>
      <c r="L81" s="9">
        <f t="shared" si="11"/>
        <v>2</v>
      </c>
      <c r="M81" s="9">
        <f t="shared" si="12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62" t="s">
        <v>18</v>
      </c>
      <c r="R81" s="63">
        <v>2</v>
      </c>
      <c r="S81" s="63" t="s">
        <v>1</v>
      </c>
      <c r="T81" s="63">
        <v>0</v>
      </c>
      <c r="U81" s="62" t="s">
        <v>127</v>
      </c>
      <c r="V81" t="b">
        <f t="shared" si="13"/>
        <v>1</v>
      </c>
      <c r="Z81" t="b">
        <f t="shared" si="14"/>
        <v>1</v>
      </c>
    </row>
    <row r="82" spans="1:26" x14ac:dyDescent="0.3">
      <c r="A82" s="60">
        <v>46204</v>
      </c>
      <c r="B82" s="61">
        <v>0.70833333333333337</v>
      </c>
      <c r="C82" s="62" t="s">
        <v>16</v>
      </c>
      <c r="D82" s="63">
        <v>3</v>
      </c>
      <c r="E82" s="63" t="s">
        <v>1</v>
      </c>
      <c r="F82" s="63">
        <v>1</v>
      </c>
      <c r="G82" s="62" t="s">
        <v>20</v>
      </c>
      <c r="K82" s="8" t="str">
        <f t="shared" si="10"/>
        <v>Bélgica</v>
      </c>
      <c r="L82" s="9">
        <f t="shared" si="11"/>
        <v>3</v>
      </c>
      <c r="M82" s="9">
        <f t="shared" si="12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62" t="s">
        <v>16</v>
      </c>
      <c r="R82" s="63">
        <v>3</v>
      </c>
      <c r="S82" s="63" t="s">
        <v>1</v>
      </c>
      <c r="T82" s="63">
        <v>1</v>
      </c>
      <c r="U82" s="62" t="s">
        <v>20</v>
      </c>
      <c r="V82" t="b">
        <f t="shared" si="13"/>
        <v>1</v>
      </c>
      <c r="Z82" t="b">
        <f t="shared" si="14"/>
        <v>1</v>
      </c>
    </row>
    <row r="83" spans="1:26" x14ac:dyDescent="0.3">
      <c r="A83" s="60">
        <v>46204</v>
      </c>
      <c r="B83" s="61">
        <v>0.875</v>
      </c>
      <c r="C83" s="62" t="s">
        <v>104</v>
      </c>
      <c r="D83" s="63">
        <v>2</v>
      </c>
      <c r="E83" s="63" t="s">
        <v>1</v>
      </c>
      <c r="F83" s="63">
        <v>1</v>
      </c>
      <c r="G83" s="62" t="s">
        <v>112</v>
      </c>
      <c r="K83" s="8" t="str">
        <f t="shared" si="10"/>
        <v>Estados Unidos</v>
      </c>
      <c r="L83" s="9">
        <f t="shared" si="11"/>
        <v>2</v>
      </c>
      <c r="M83" s="9">
        <f t="shared" si="12"/>
        <v>1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62" t="s">
        <v>104</v>
      </c>
      <c r="R83" s="63">
        <v>2</v>
      </c>
      <c r="S83" s="63" t="s">
        <v>1</v>
      </c>
      <c r="T83" s="63">
        <v>1</v>
      </c>
      <c r="U83" s="62" t="s">
        <v>112</v>
      </c>
      <c r="V83" t="b">
        <f t="shared" si="13"/>
        <v>1</v>
      </c>
      <c r="Z83" t="b">
        <f t="shared" si="14"/>
        <v>1</v>
      </c>
    </row>
    <row r="84" spans="1:26" x14ac:dyDescent="0.3">
      <c r="A84" s="60">
        <v>46205</v>
      </c>
      <c r="B84" s="61">
        <v>0.66666666666666663</v>
      </c>
      <c r="C84" s="62" t="s">
        <v>6</v>
      </c>
      <c r="D84" s="63">
        <v>2</v>
      </c>
      <c r="E84" s="63" t="s">
        <v>1</v>
      </c>
      <c r="F84" s="63">
        <v>0</v>
      </c>
      <c r="G84" s="62" t="s">
        <v>125</v>
      </c>
      <c r="K84" s="8" t="str">
        <f t="shared" si="10"/>
        <v>Espanha</v>
      </c>
      <c r="L84" s="9">
        <f t="shared" si="11"/>
        <v>2</v>
      </c>
      <c r="M84" s="9">
        <f t="shared" si="12"/>
        <v>0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62" t="s">
        <v>6</v>
      </c>
      <c r="R84" s="63">
        <v>2</v>
      </c>
      <c r="S84" s="63" t="s">
        <v>1</v>
      </c>
      <c r="T84" s="63">
        <v>0</v>
      </c>
      <c r="U84" s="62" t="s">
        <v>125</v>
      </c>
      <c r="V84" t="b">
        <f t="shared" si="13"/>
        <v>1</v>
      </c>
      <c r="Z84" t="b">
        <f t="shared" si="14"/>
        <v>1</v>
      </c>
    </row>
    <row r="85" spans="1:26" x14ac:dyDescent="0.3">
      <c r="A85" s="60">
        <v>46205</v>
      </c>
      <c r="B85" s="61">
        <v>0.83333333333333337</v>
      </c>
      <c r="C85" s="62" t="s">
        <v>5</v>
      </c>
      <c r="D85" s="63">
        <v>1</v>
      </c>
      <c r="E85" s="63" t="s">
        <v>1</v>
      </c>
      <c r="F85" s="63">
        <v>0</v>
      </c>
      <c r="G85" s="62" t="s">
        <v>10</v>
      </c>
      <c r="K85" s="8" t="str">
        <f t="shared" si="10"/>
        <v>Portugal</v>
      </c>
      <c r="L85" s="9">
        <f t="shared" si="11"/>
        <v>1</v>
      </c>
      <c r="M85" s="9">
        <f t="shared" si="12"/>
        <v>0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62" t="s">
        <v>5</v>
      </c>
      <c r="R85" s="63">
        <v>1</v>
      </c>
      <c r="S85" s="63" t="s">
        <v>1</v>
      </c>
      <c r="T85" s="63">
        <v>0</v>
      </c>
      <c r="U85" s="62" t="s">
        <v>10</v>
      </c>
      <c r="V85" t="b">
        <f t="shared" si="13"/>
        <v>1</v>
      </c>
      <c r="Z85" t="b">
        <f t="shared" si="14"/>
        <v>1</v>
      </c>
    </row>
    <row r="86" spans="1:26" x14ac:dyDescent="0.3">
      <c r="A86" s="60">
        <v>46206</v>
      </c>
      <c r="B86" s="61">
        <v>0</v>
      </c>
      <c r="C86" s="62" t="s">
        <v>72</v>
      </c>
      <c r="D86" s="63">
        <v>0</v>
      </c>
      <c r="E86" s="63" t="s">
        <v>1</v>
      </c>
      <c r="F86" s="63">
        <v>1</v>
      </c>
      <c r="G86" s="62" t="s">
        <v>124</v>
      </c>
      <c r="K86" s="8" t="str">
        <f t="shared" si="10"/>
        <v>Argélia</v>
      </c>
      <c r="L86" s="9">
        <f t="shared" si="11"/>
        <v>1</v>
      </c>
      <c r="M86" s="9">
        <f t="shared" si="12"/>
        <v>0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62" t="s">
        <v>72</v>
      </c>
      <c r="R86" s="63">
        <v>0</v>
      </c>
      <c r="S86" s="63" t="s">
        <v>1</v>
      </c>
      <c r="T86" s="63">
        <v>1</v>
      </c>
      <c r="U86" s="62" t="s">
        <v>124</v>
      </c>
      <c r="V86" t="b">
        <f t="shared" si="13"/>
        <v>1</v>
      </c>
      <c r="Z86" t="b">
        <f t="shared" si="14"/>
        <v>1</v>
      </c>
    </row>
    <row r="87" spans="1:26" x14ac:dyDescent="0.3">
      <c r="A87" s="60">
        <v>46206</v>
      </c>
      <c r="B87" s="61">
        <v>0.625</v>
      </c>
      <c r="C87" s="62" t="s">
        <v>8</v>
      </c>
      <c r="D87" s="63">
        <v>1</v>
      </c>
      <c r="E87" s="63" t="s">
        <v>1</v>
      </c>
      <c r="F87" s="63">
        <v>0</v>
      </c>
      <c r="G87" s="62" t="s">
        <v>119</v>
      </c>
      <c r="K87" s="8" t="str">
        <f t="shared" si="10"/>
        <v>Austrália</v>
      </c>
      <c r="L87" s="9">
        <f t="shared" si="11"/>
        <v>1</v>
      </c>
      <c r="M87" s="9">
        <f t="shared" si="12"/>
        <v>0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62" t="s">
        <v>8</v>
      </c>
      <c r="R87" s="63">
        <v>1</v>
      </c>
      <c r="S87" s="63" t="s">
        <v>1</v>
      </c>
      <c r="T87" s="63">
        <v>0</v>
      </c>
      <c r="U87" s="62" t="s">
        <v>119</v>
      </c>
      <c r="V87" t="b">
        <f t="shared" si="13"/>
        <v>1</v>
      </c>
      <c r="Z87" t="b">
        <f t="shared" si="14"/>
        <v>1</v>
      </c>
    </row>
    <row r="88" spans="1:26" x14ac:dyDescent="0.3">
      <c r="A88" s="60">
        <v>46206</v>
      </c>
      <c r="B88" s="61">
        <v>0.79166666666666663</v>
      </c>
      <c r="C88" s="62" t="s">
        <v>9</v>
      </c>
      <c r="D88" s="63">
        <v>4</v>
      </c>
      <c r="E88" s="63" t="s">
        <v>1</v>
      </c>
      <c r="F88" s="63">
        <v>0</v>
      </c>
      <c r="G88" s="62" t="s">
        <v>121</v>
      </c>
      <c r="K88" s="8" t="str">
        <f t="shared" si="10"/>
        <v>Argentina</v>
      </c>
      <c r="L88" s="9">
        <f t="shared" si="11"/>
        <v>4</v>
      </c>
      <c r="M88" s="9">
        <f t="shared" si="12"/>
        <v>0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62" t="s">
        <v>9</v>
      </c>
      <c r="R88" s="63">
        <v>4</v>
      </c>
      <c r="S88" s="63" t="s">
        <v>1</v>
      </c>
      <c r="T88" s="63">
        <v>0</v>
      </c>
      <c r="U88" s="62" t="s">
        <v>121</v>
      </c>
      <c r="V88" t="b">
        <f t="shared" si="13"/>
        <v>1</v>
      </c>
      <c r="Z88" t="b">
        <f t="shared" si="14"/>
        <v>1</v>
      </c>
    </row>
    <row r="89" spans="1:26" x14ac:dyDescent="0.3">
      <c r="A89" s="60">
        <v>46206</v>
      </c>
      <c r="B89" s="61">
        <v>0.9375</v>
      </c>
      <c r="C89" s="62" t="s">
        <v>129</v>
      </c>
      <c r="D89" s="63">
        <v>3</v>
      </c>
      <c r="E89" s="63" t="s">
        <v>1</v>
      </c>
      <c r="F89" s="63">
        <v>1</v>
      </c>
      <c r="G89" s="62" t="s">
        <v>106</v>
      </c>
      <c r="K89" s="8" t="str">
        <f t="shared" si="10"/>
        <v>Colômbia</v>
      </c>
      <c r="L89" s="9">
        <f t="shared" si="11"/>
        <v>3</v>
      </c>
      <c r="M89" s="9">
        <f t="shared" si="12"/>
        <v>1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62" t="s">
        <v>129</v>
      </c>
      <c r="R89" s="63">
        <v>3</v>
      </c>
      <c r="S89" s="63" t="s">
        <v>1</v>
      </c>
      <c r="T89" s="63">
        <v>1</v>
      </c>
      <c r="U89" s="62" t="s">
        <v>106</v>
      </c>
      <c r="V89" t="b">
        <f t="shared" si="13"/>
        <v>1</v>
      </c>
      <c r="Z89" t="b">
        <f t="shared" si="14"/>
        <v>1</v>
      </c>
    </row>
    <row r="90" spans="1:26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6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6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6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6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6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6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F7FD-8A53-43C8-9755-2D691B319CB2}">
  <dimension ref="A1:Z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91</v>
      </c>
      <c r="I1" s="135"/>
      <c r="J1" s="142"/>
      <c r="K1" s="3" t="s">
        <v>32</v>
      </c>
      <c r="L1" s="3" t="s">
        <v>30</v>
      </c>
      <c r="M1" s="3" t="s">
        <v>31</v>
      </c>
      <c r="O1" s="4" t="s">
        <v>33</v>
      </c>
    </row>
    <row r="2" spans="1:15" ht="15.75" customHeight="1" x14ac:dyDescent="0.3">
      <c r="A2" s="53">
        <v>46184</v>
      </c>
      <c r="B2" s="54">
        <v>0.66666666666666663</v>
      </c>
      <c r="C2" s="55" t="s">
        <v>13</v>
      </c>
      <c r="D2" s="46">
        <v>2</v>
      </c>
      <c r="E2" s="46" t="s">
        <v>1</v>
      </c>
      <c r="F2" s="46">
        <v>1</v>
      </c>
      <c r="G2" s="55" t="s">
        <v>88</v>
      </c>
      <c r="H2" s="141"/>
      <c r="I2" s="135"/>
      <c r="J2" s="142"/>
      <c r="K2" s="8" t="str">
        <f t="shared" ref="K2:K3" si="0">IF(D2="","",IF(D2&gt;F2,C2,IF(F2&gt;D2,G2,"EMPATE")))</f>
        <v>México</v>
      </c>
      <c r="L2" s="9">
        <f t="shared" ref="L2:L3" si="1">IF(D2="","",IF(D2&gt;F2,D2,IF(F2&gt;D2,F2,D2)))</f>
        <v>2</v>
      </c>
      <c r="M2" s="9">
        <f t="shared" ref="M2:M3" si="2">IF(D2="","",IF(D2&lt;F2,D2,IF(F2&lt;D2,F2,D2)))</f>
        <v>1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6</v>
      </c>
    </row>
    <row r="3" spans="1:15" ht="15.75" customHeight="1" x14ac:dyDescent="0.3">
      <c r="A3" s="53">
        <v>46184</v>
      </c>
      <c r="B3" s="54">
        <v>0.95833333333333337</v>
      </c>
      <c r="C3" s="55" t="s">
        <v>15</v>
      </c>
      <c r="D3" s="46">
        <v>1</v>
      </c>
      <c r="E3" s="46" t="s">
        <v>1</v>
      </c>
      <c r="F3" s="46">
        <v>1</v>
      </c>
      <c r="G3" s="55" t="s">
        <v>111</v>
      </c>
      <c r="H3" s="141"/>
      <c r="I3" s="135"/>
      <c r="J3" s="142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53">
        <v>46185</v>
      </c>
      <c r="B4" s="54">
        <v>0.66666666666666663</v>
      </c>
      <c r="C4" s="55" t="s">
        <v>105</v>
      </c>
      <c r="D4" s="46">
        <v>2</v>
      </c>
      <c r="E4" s="46" t="s">
        <v>1</v>
      </c>
      <c r="F4" s="46">
        <v>0</v>
      </c>
      <c r="G4" s="55" t="s">
        <v>112</v>
      </c>
      <c r="K4" s="8" t="str">
        <f t="shared" ref="K4:K67" si="3">IF(D4="","",IF(D4&gt;F4,C4,IF(F4&gt;D4,G4,"EMPATE")))</f>
        <v>Canadá</v>
      </c>
      <c r="L4" s="9">
        <f t="shared" ref="L4:L67" si="4">IF(D4="","",IF(D4&gt;F4,D4,IF(F4&gt;D4,F4,D4)))</f>
        <v>2</v>
      </c>
      <c r="M4" s="9">
        <f t="shared" ref="M4:M67" si="5">IF(D4="","",IF(D4&lt;F4,D4,IF(F4&lt;D4,F4,D4)))</f>
        <v>0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53">
        <v>46185</v>
      </c>
      <c r="B5" s="54">
        <v>0.91666666666666663</v>
      </c>
      <c r="C5" s="55" t="s">
        <v>104</v>
      </c>
      <c r="D5" s="46">
        <v>2</v>
      </c>
      <c r="E5" s="46" t="s">
        <v>1</v>
      </c>
      <c r="F5" s="46">
        <v>1</v>
      </c>
      <c r="G5" s="55" t="s">
        <v>115</v>
      </c>
      <c r="I5" s="18"/>
      <c r="K5" s="8" t="str">
        <f t="shared" si="3"/>
        <v>Estados Unidos</v>
      </c>
      <c r="L5" s="9">
        <f t="shared" si="4"/>
        <v>2</v>
      </c>
      <c r="M5" s="9">
        <f t="shared" si="5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3">
      <c r="A6" s="53">
        <v>46186</v>
      </c>
      <c r="B6" s="54">
        <v>0.66666666666666663</v>
      </c>
      <c r="C6" s="55" t="s">
        <v>97</v>
      </c>
      <c r="D6" s="46">
        <v>1</v>
      </c>
      <c r="E6" s="46" t="s">
        <v>1</v>
      </c>
      <c r="F6" s="46">
        <v>2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3"/>
        <v>Suíça</v>
      </c>
      <c r="L6" s="9">
        <f t="shared" si="4"/>
        <v>2</v>
      </c>
      <c r="M6" s="9">
        <f t="shared" si="5"/>
        <v>1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53">
        <v>46186</v>
      </c>
      <c r="B7" s="54">
        <v>0.79166666666666663</v>
      </c>
      <c r="C7" s="55" t="s">
        <v>11</v>
      </c>
      <c r="D7" s="46">
        <v>3</v>
      </c>
      <c r="E7" s="46" t="s">
        <v>1</v>
      </c>
      <c r="F7" s="46">
        <v>1</v>
      </c>
      <c r="G7" s="55" t="s">
        <v>4</v>
      </c>
      <c r="H7" s="15">
        <v>9</v>
      </c>
      <c r="I7" s="15">
        <f>COUNTIF($O$2:$O$105,9)</f>
        <v>5</v>
      </c>
      <c r="J7" s="15">
        <f>H7*I7</f>
        <v>45</v>
      </c>
      <c r="K7" s="8" t="str">
        <f t="shared" si="3"/>
        <v>Brasil</v>
      </c>
      <c r="L7" s="9">
        <f t="shared" si="4"/>
        <v>3</v>
      </c>
      <c r="M7" s="9">
        <f t="shared" si="5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53">
        <v>46186</v>
      </c>
      <c r="B8" s="54">
        <v>0.91666666666666663</v>
      </c>
      <c r="C8" s="55" t="s">
        <v>113</v>
      </c>
      <c r="D8" s="46">
        <v>0</v>
      </c>
      <c r="E8" s="46" t="s">
        <v>1</v>
      </c>
      <c r="F8" s="46">
        <v>2</v>
      </c>
      <c r="G8" s="55" t="s">
        <v>114</v>
      </c>
      <c r="H8" s="15">
        <v>6</v>
      </c>
      <c r="I8" s="15">
        <f>COUNTIF($O$2:$O$105,6)</f>
        <v>10</v>
      </c>
      <c r="J8" s="15">
        <f t="shared" ref="J8:J11" si="6">H8*I8</f>
        <v>60</v>
      </c>
      <c r="K8" s="8" t="str">
        <f t="shared" si="3"/>
        <v>Escócia</v>
      </c>
      <c r="L8" s="9">
        <f t="shared" si="4"/>
        <v>2</v>
      </c>
      <c r="M8" s="9">
        <f t="shared" si="5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</row>
    <row r="9" spans="1:15" ht="15.75" customHeight="1" x14ac:dyDescent="0.3">
      <c r="A9" s="53">
        <v>46187</v>
      </c>
      <c r="B9" s="54">
        <v>4.1666666666666657E-2</v>
      </c>
      <c r="C9" s="55" t="s">
        <v>8</v>
      </c>
      <c r="D9" s="46">
        <v>1</v>
      </c>
      <c r="E9" s="46" t="s">
        <v>1</v>
      </c>
      <c r="F9" s="46">
        <v>2</v>
      </c>
      <c r="G9" s="55" t="s">
        <v>116</v>
      </c>
      <c r="H9" s="15">
        <v>4</v>
      </c>
      <c r="I9" s="15">
        <f>COUNTIF($O$2:$O$105,4)</f>
        <v>11</v>
      </c>
      <c r="J9" s="15">
        <f t="shared" si="6"/>
        <v>44</v>
      </c>
      <c r="K9" s="8" t="str">
        <f t="shared" si="3"/>
        <v>Turquia</v>
      </c>
      <c r="L9" s="9">
        <f t="shared" si="4"/>
        <v>2</v>
      </c>
      <c r="M9" s="9">
        <f t="shared" si="5"/>
        <v>1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53">
        <v>46187</v>
      </c>
      <c r="B10" s="54">
        <v>0.58333333333333337</v>
      </c>
      <c r="C10" s="55" t="s">
        <v>12</v>
      </c>
      <c r="D10" s="46">
        <v>4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18</v>
      </c>
      <c r="J10" s="15">
        <f t="shared" si="6"/>
        <v>54</v>
      </c>
      <c r="K10" s="8" t="str">
        <f t="shared" si="3"/>
        <v>Alemanha</v>
      </c>
      <c r="L10" s="9">
        <f t="shared" si="4"/>
        <v>4</v>
      </c>
      <c r="M10" s="9">
        <f t="shared" si="5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53">
        <v>46187</v>
      </c>
      <c r="B11" s="54">
        <v>0.70833333333333337</v>
      </c>
      <c r="C11" s="55" t="s">
        <v>78</v>
      </c>
      <c r="D11" s="46">
        <v>2</v>
      </c>
      <c r="E11" s="46" t="s">
        <v>1</v>
      </c>
      <c r="F11" s="46">
        <v>1</v>
      </c>
      <c r="G11" s="55" t="s">
        <v>19</v>
      </c>
      <c r="H11" s="15">
        <v>0</v>
      </c>
      <c r="I11" s="15">
        <f>COUNTIF($O$2:$O$105,0)</f>
        <v>28</v>
      </c>
      <c r="J11" s="15">
        <f t="shared" si="6"/>
        <v>0</v>
      </c>
      <c r="K11" s="8" t="str">
        <f t="shared" si="3"/>
        <v>Holanda</v>
      </c>
      <c r="L11" s="9">
        <f t="shared" si="4"/>
        <v>2</v>
      </c>
      <c r="M11" s="9">
        <f t="shared" si="5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0</v>
      </c>
    </row>
    <row r="12" spans="1:15" ht="18" x14ac:dyDescent="0.35">
      <c r="A12" s="53">
        <v>46187</v>
      </c>
      <c r="B12" s="54">
        <v>0.83333333333333337</v>
      </c>
      <c r="C12" s="55" t="s">
        <v>118</v>
      </c>
      <c r="D12" s="46">
        <v>1</v>
      </c>
      <c r="E12" s="46" t="s">
        <v>1</v>
      </c>
      <c r="F12" s="46">
        <v>2</v>
      </c>
      <c r="G12" s="55" t="s">
        <v>102</v>
      </c>
      <c r="H12" s="15"/>
      <c r="I12" s="16" t="s">
        <v>46</v>
      </c>
      <c r="J12" s="17">
        <f>SUM(J7:J11)</f>
        <v>203</v>
      </c>
      <c r="K12" s="8" t="str">
        <f t="shared" si="3"/>
        <v>Equador</v>
      </c>
      <c r="L12" s="9">
        <f t="shared" si="4"/>
        <v>2</v>
      </c>
      <c r="M12" s="9">
        <f t="shared" si="5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53">
        <v>46187</v>
      </c>
      <c r="B13" s="54">
        <v>0.95833333333333337</v>
      </c>
      <c r="C13" s="55" t="s">
        <v>14</v>
      </c>
      <c r="D13" s="46">
        <v>2</v>
      </c>
      <c r="E13" s="46" t="s">
        <v>1</v>
      </c>
      <c r="F13" s="46">
        <v>0</v>
      </c>
      <c r="G13" s="55" t="s">
        <v>17</v>
      </c>
      <c r="K13" s="8" t="str">
        <f t="shared" si="3"/>
        <v>Suécia</v>
      </c>
      <c r="L13" s="9">
        <f t="shared" si="4"/>
        <v>2</v>
      </c>
      <c r="M13" s="9">
        <f t="shared" si="5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3">
      <c r="A14" s="53">
        <v>46188</v>
      </c>
      <c r="B14" s="54">
        <v>0.54166666666666663</v>
      </c>
      <c r="C14" s="55" t="s">
        <v>6</v>
      </c>
      <c r="D14" s="46">
        <v>4</v>
      </c>
      <c r="E14" s="46" t="s">
        <v>1</v>
      </c>
      <c r="F14" s="46">
        <v>0</v>
      </c>
      <c r="G14" s="55" t="s">
        <v>121</v>
      </c>
      <c r="K14" s="8" t="str">
        <f t="shared" si="3"/>
        <v>Espanha</v>
      </c>
      <c r="L14" s="9">
        <f t="shared" si="4"/>
        <v>4</v>
      </c>
      <c r="M14" s="9">
        <f t="shared" si="5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53">
        <v>46188</v>
      </c>
      <c r="B15" s="54">
        <v>0.66666666666666663</v>
      </c>
      <c r="C15" s="55" t="s">
        <v>16</v>
      </c>
      <c r="D15" s="46">
        <v>3</v>
      </c>
      <c r="E15" s="46" t="s">
        <v>1</v>
      </c>
      <c r="F15" s="46">
        <v>0</v>
      </c>
      <c r="G15" s="55" t="s">
        <v>119</v>
      </c>
      <c r="K15" s="8" t="str">
        <f t="shared" si="3"/>
        <v>Bélgica</v>
      </c>
      <c r="L15" s="9">
        <f t="shared" si="4"/>
        <v>3</v>
      </c>
      <c r="M15" s="9">
        <f t="shared" si="5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53">
        <v>46188</v>
      </c>
      <c r="B16" s="54">
        <v>0.79166666666666663</v>
      </c>
      <c r="C16" s="55" t="s">
        <v>2</v>
      </c>
      <c r="D16" s="46">
        <v>1</v>
      </c>
      <c r="E16" s="46" t="s">
        <v>1</v>
      </c>
      <c r="F16" s="46">
        <v>2</v>
      </c>
      <c r="G16" s="55" t="s">
        <v>3</v>
      </c>
      <c r="K16" s="8" t="str">
        <f t="shared" si="3"/>
        <v>Uruguai</v>
      </c>
      <c r="L16" s="9">
        <f t="shared" si="4"/>
        <v>2</v>
      </c>
      <c r="M16" s="9">
        <f t="shared" si="5"/>
        <v>1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1" x14ac:dyDescent="0.3">
      <c r="A17" s="53">
        <v>46188</v>
      </c>
      <c r="B17" s="54">
        <v>0.91666666666666663</v>
      </c>
      <c r="C17" s="55" t="s">
        <v>103</v>
      </c>
      <c r="D17" s="46">
        <v>2</v>
      </c>
      <c r="E17" s="46" t="s">
        <v>1</v>
      </c>
      <c r="F17" s="46">
        <v>0</v>
      </c>
      <c r="G17" s="55" t="s">
        <v>120</v>
      </c>
      <c r="K17" s="8" t="str">
        <f t="shared" si="3"/>
        <v>Irã</v>
      </c>
      <c r="L17" s="9">
        <f t="shared" si="4"/>
        <v>2</v>
      </c>
      <c r="M17" s="9">
        <f t="shared" si="5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1" x14ac:dyDescent="0.3">
      <c r="A18" s="53">
        <v>46189</v>
      </c>
      <c r="B18" s="54">
        <v>0.66666666666666663</v>
      </c>
      <c r="C18" s="55" t="s">
        <v>7</v>
      </c>
      <c r="D18" s="46">
        <v>3</v>
      </c>
      <c r="E18" s="46" t="s">
        <v>1</v>
      </c>
      <c r="F18" s="46">
        <v>1</v>
      </c>
      <c r="G18" s="55" t="s">
        <v>20</v>
      </c>
      <c r="K18" s="8" t="str">
        <f t="shared" si="3"/>
        <v>França</v>
      </c>
      <c r="L18" s="9">
        <f t="shared" si="4"/>
        <v>3</v>
      </c>
      <c r="M18" s="9">
        <f t="shared" si="5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9</v>
      </c>
    </row>
    <row r="19" spans="1:21" x14ac:dyDescent="0.3">
      <c r="A19" s="53">
        <v>46189</v>
      </c>
      <c r="B19" s="54">
        <v>0.79166666666666663</v>
      </c>
      <c r="C19" s="55" t="s">
        <v>122</v>
      </c>
      <c r="D19" s="46">
        <v>0</v>
      </c>
      <c r="E19" s="46" t="s">
        <v>1</v>
      </c>
      <c r="F19" s="46">
        <v>2</v>
      </c>
      <c r="G19" s="55" t="s">
        <v>123</v>
      </c>
      <c r="K19" s="8" t="str">
        <f t="shared" si="3"/>
        <v>Noruega</v>
      </c>
      <c r="L19" s="9">
        <f t="shared" si="4"/>
        <v>2</v>
      </c>
      <c r="M19" s="9">
        <f t="shared" si="5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1" x14ac:dyDescent="0.3">
      <c r="A20" s="53">
        <v>46189</v>
      </c>
      <c r="B20" s="54">
        <v>0.91666666666666663</v>
      </c>
      <c r="C20" s="55" t="s">
        <v>9</v>
      </c>
      <c r="D20" s="46">
        <v>3</v>
      </c>
      <c r="E20" s="46" t="s">
        <v>1</v>
      </c>
      <c r="F20" s="46">
        <v>0</v>
      </c>
      <c r="G20" s="55" t="s">
        <v>124</v>
      </c>
      <c r="K20" s="8" t="str">
        <f t="shared" si="3"/>
        <v>Argentina</v>
      </c>
      <c r="L20" s="9">
        <f t="shared" si="4"/>
        <v>3</v>
      </c>
      <c r="M20" s="9">
        <f t="shared" si="5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1" x14ac:dyDescent="0.3">
      <c r="A21" s="53">
        <v>46190</v>
      </c>
      <c r="B21" s="54">
        <v>4.1666666666666657E-2</v>
      </c>
      <c r="C21" s="55" t="s">
        <v>125</v>
      </c>
      <c r="D21" s="46">
        <v>2</v>
      </c>
      <c r="E21" s="46" t="s">
        <v>1</v>
      </c>
      <c r="F21" s="46">
        <v>0</v>
      </c>
      <c r="G21" s="55" t="s">
        <v>126</v>
      </c>
      <c r="K21" s="8" t="str">
        <f t="shared" si="3"/>
        <v>Áustria</v>
      </c>
      <c r="L21" s="9">
        <f t="shared" si="4"/>
        <v>2</v>
      </c>
      <c r="M21" s="9">
        <f t="shared" si="5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1" x14ac:dyDescent="0.3">
      <c r="A22" s="53">
        <v>46190</v>
      </c>
      <c r="B22" s="54">
        <v>0.58333333333333337</v>
      </c>
      <c r="C22" s="55" t="s">
        <v>5</v>
      </c>
      <c r="D22" s="46">
        <v>3</v>
      </c>
      <c r="E22" s="46" t="s">
        <v>1</v>
      </c>
      <c r="F22" s="46">
        <v>0</v>
      </c>
      <c r="G22" s="55" t="s">
        <v>127</v>
      </c>
      <c r="K22" s="8" t="str">
        <f t="shared" si="3"/>
        <v>Portugal</v>
      </c>
      <c r="L22" s="9">
        <f t="shared" si="4"/>
        <v>3</v>
      </c>
      <c r="M22" s="9">
        <f t="shared" si="5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1" x14ac:dyDescent="0.3">
      <c r="A23" s="53">
        <v>46190</v>
      </c>
      <c r="B23" s="54">
        <v>0.70833333333333337</v>
      </c>
      <c r="C23" s="55" t="s">
        <v>18</v>
      </c>
      <c r="D23" s="46">
        <v>2</v>
      </c>
      <c r="E23" s="46" t="s">
        <v>1</v>
      </c>
      <c r="F23" s="46">
        <v>1</v>
      </c>
      <c r="G23" s="55" t="s">
        <v>10</v>
      </c>
      <c r="K23" s="8" t="str">
        <f t="shared" si="3"/>
        <v>Inglaterra</v>
      </c>
      <c r="L23" s="9">
        <f t="shared" si="4"/>
        <v>2</v>
      </c>
      <c r="M23" s="9">
        <f t="shared" si="5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3</v>
      </c>
    </row>
    <row r="24" spans="1:21" x14ac:dyDescent="0.3">
      <c r="A24" s="53">
        <v>46190</v>
      </c>
      <c r="B24" s="54">
        <v>0.83333333333333337</v>
      </c>
      <c r="C24" s="55" t="s">
        <v>106</v>
      </c>
      <c r="D24" s="46">
        <v>2</v>
      </c>
      <c r="E24" s="46" t="s">
        <v>1</v>
      </c>
      <c r="F24" s="46">
        <v>1</v>
      </c>
      <c r="G24" s="55" t="s">
        <v>130</v>
      </c>
      <c r="K24" s="8" t="str">
        <f t="shared" si="3"/>
        <v>Gana</v>
      </c>
      <c r="L24" s="9">
        <f t="shared" si="4"/>
        <v>2</v>
      </c>
      <c r="M24" s="9">
        <f t="shared" si="5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1" x14ac:dyDescent="0.3">
      <c r="A25" s="53">
        <v>46190</v>
      </c>
      <c r="B25" s="54">
        <v>0.95833333333333337</v>
      </c>
      <c r="C25" s="55" t="s">
        <v>128</v>
      </c>
      <c r="D25" s="46">
        <v>0</v>
      </c>
      <c r="E25" s="46" t="s">
        <v>1</v>
      </c>
      <c r="F25" s="46">
        <v>2</v>
      </c>
      <c r="G25" s="55" t="s">
        <v>129</v>
      </c>
      <c r="K25" s="8" t="str">
        <f t="shared" si="3"/>
        <v>Colômbia</v>
      </c>
      <c r="L25" s="9">
        <f t="shared" si="4"/>
        <v>2</v>
      </c>
      <c r="M25" s="9">
        <f t="shared" si="5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</row>
    <row r="26" spans="1:21" x14ac:dyDescent="0.3">
      <c r="A26" s="100">
        <v>46191</v>
      </c>
      <c r="B26" s="101">
        <v>0.54166666666666663</v>
      </c>
      <c r="C26" s="102" t="s">
        <v>111</v>
      </c>
      <c r="D26" s="103">
        <v>1</v>
      </c>
      <c r="E26" s="103" t="s">
        <v>1</v>
      </c>
      <c r="F26" s="103">
        <v>1</v>
      </c>
      <c r="G26" s="102" t="s">
        <v>88</v>
      </c>
      <c r="K26" s="8" t="str">
        <f t="shared" si="3"/>
        <v>EMPATE</v>
      </c>
      <c r="L26" s="9">
        <f t="shared" si="4"/>
        <v>1</v>
      </c>
      <c r="M26" s="9">
        <f t="shared" si="5"/>
        <v>1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9</v>
      </c>
      <c r="Q26" s="86"/>
      <c r="R26" s="111"/>
      <c r="S26" s="111"/>
      <c r="T26" s="111"/>
      <c r="U26" s="86"/>
    </row>
    <row r="27" spans="1:21" x14ac:dyDescent="0.3">
      <c r="A27" s="100">
        <v>46191</v>
      </c>
      <c r="B27" s="101">
        <v>0.66666666666666663</v>
      </c>
      <c r="C27" s="102" t="s">
        <v>72</v>
      </c>
      <c r="D27" s="103">
        <v>2</v>
      </c>
      <c r="E27" s="103" t="s">
        <v>1</v>
      </c>
      <c r="F27" s="103">
        <v>1</v>
      </c>
      <c r="G27" s="102" t="s">
        <v>112</v>
      </c>
      <c r="K27" s="8" t="str">
        <f t="shared" si="3"/>
        <v>Suíça</v>
      </c>
      <c r="L27" s="9">
        <f t="shared" si="4"/>
        <v>2</v>
      </c>
      <c r="M27" s="9">
        <f t="shared" si="5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4</v>
      </c>
      <c r="Q27" s="86"/>
      <c r="R27" s="111"/>
      <c r="S27" s="111"/>
      <c r="T27" s="111"/>
      <c r="U27" s="86"/>
    </row>
    <row r="28" spans="1:21" x14ac:dyDescent="0.3">
      <c r="A28" s="100">
        <v>46191</v>
      </c>
      <c r="B28" s="101">
        <v>0.79166666666666663</v>
      </c>
      <c r="C28" s="102" t="s">
        <v>105</v>
      </c>
      <c r="D28" s="103">
        <v>1</v>
      </c>
      <c r="E28" s="103" t="s">
        <v>1</v>
      </c>
      <c r="F28" s="103">
        <v>1</v>
      </c>
      <c r="G28" s="102" t="s">
        <v>97</v>
      </c>
      <c r="K28" s="8" t="str">
        <f t="shared" si="3"/>
        <v>EMPATE</v>
      </c>
      <c r="L28" s="9">
        <f t="shared" si="4"/>
        <v>1</v>
      </c>
      <c r="M28" s="9">
        <f t="shared" si="5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0</v>
      </c>
      <c r="Q28" s="86"/>
      <c r="R28" s="111"/>
      <c r="S28" s="111"/>
      <c r="T28" s="111"/>
      <c r="U28" s="86"/>
    </row>
    <row r="29" spans="1:21" x14ac:dyDescent="0.3">
      <c r="A29" s="100">
        <v>46191</v>
      </c>
      <c r="B29" s="101">
        <v>0.91666666666666663</v>
      </c>
      <c r="C29" s="102" t="s">
        <v>13</v>
      </c>
      <c r="D29" s="103">
        <v>2</v>
      </c>
      <c r="E29" s="103" t="s">
        <v>1</v>
      </c>
      <c r="F29" s="103">
        <v>1</v>
      </c>
      <c r="G29" s="102" t="s">
        <v>15</v>
      </c>
      <c r="K29" s="8" t="str">
        <f t="shared" si="3"/>
        <v>México</v>
      </c>
      <c r="L29" s="9">
        <f t="shared" si="4"/>
        <v>2</v>
      </c>
      <c r="M29" s="9">
        <f t="shared" si="5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3</v>
      </c>
      <c r="Q29" s="86"/>
      <c r="R29" s="111"/>
      <c r="S29" s="111"/>
      <c r="T29" s="111"/>
      <c r="U29" s="86"/>
    </row>
    <row r="30" spans="1:21" x14ac:dyDescent="0.3">
      <c r="A30" s="100">
        <v>46192</v>
      </c>
      <c r="B30" s="101">
        <v>0.66666666666666663</v>
      </c>
      <c r="C30" s="102" t="s">
        <v>104</v>
      </c>
      <c r="D30" s="103">
        <v>2</v>
      </c>
      <c r="E30" s="103" t="s">
        <v>1</v>
      </c>
      <c r="F30" s="103">
        <v>1</v>
      </c>
      <c r="G30" s="102" t="s">
        <v>8</v>
      </c>
      <c r="K30" s="8" t="str">
        <f t="shared" si="3"/>
        <v>Estados Unidos</v>
      </c>
      <c r="L30" s="9">
        <f t="shared" si="4"/>
        <v>2</v>
      </c>
      <c r="M30" s="9">
        <f t="shared" si="5"/>
        <v>1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6</v>
      </c>
      <c r="Q30" s="86"/>
      <c r="R30" s="111"/>
      <c r="S30" s="111"/>
      <c r="T30" s="111"/>
      <c r="U30" s="86"/>
    </row>
    <row r="31" spans="1:21" x14ac:dyDescent="0.3">
      <c r="A31" s="100">
        <v>46192</v>
      </c>
      <c r="B31" s="101">
        <v>0.79166666666666663</v>
      </c>
      <c r="C31" s="102" t="s">
        <v>114</v>
      </c>
      <c r="D31" s="103">
        <v>1</v>
      </c>
      <c r="E31" s="103" t="s">
        <v>1</v>
      </c>
      <c r="F31" s="103">
        <v>1</v>
      </c>
      <c r="G31" s="102" t="s">
        <v>4</v>
      </c>
      <c r="K31" s="8" t="str">
        <f t="shared" si="3"/>
        <v>EMPATE</v>
      </c>
      <c r="L31" s="9">
        <f t="shared" si="4"/>
        <v>1</v>
      </c>
      <c r="M31" s="9">
        <f t="shared" si="5"/>
        <v>1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0</v>
      </c>
      <c r="Q31" s="86"/>
      <c r="R31" s="111"/>
      <c r="S31" s="111"/>
      <c r="T31" s="111"/>
      <c r="U31" s="86"/>
    </row>
    <row r="32" spans="1:21" x14ac:dyDescent="0.3">
      <c r="A32" s="100">
        <v>46192</v>
      </c>
      <c r="B32" s="101">
        <v>0.89583333333333337</v>
      </c>
      <c r="C32" s="102" t="s">
        <v>11</v>
      </c>
      <c r="D32" s="103">
        <v>2</v>
      </c>
      <c r="E32" s="103" t="s">
        <v>1</v>
      </c>
      <c r="F32" s="103">
        <v>0</v>
      </c>
      <c r="G32" s="102" t="s">
        <v>113</v>
      </c>
      <c r="K32" s="8" t="str">
        <f t="shared" si="3"/>
        <v>Brasil</v>
      </c>
      <c r="L32" s="9">
        <f t="shared" si="4"/>
        <v>2</v>
      </c>
      <c r="M32" s="9">
        <f t="shared" si="5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4</v>
      </c>
      <c r="Q32" s="86"/>
      <c r="R32" s="111"/>
      <c r="S32" s="111"/>
      <c r="T32" s="111"/>
      <c r="U32" s="86"/>
    </row>
    <row r="33" spans="1:21" x14ac:dyDescent="0.3">
      <c r="A33" s="100">
        <v>46193</v>
      </c>
      <c r="B33" s="101">
        <v>4.1666666666666664E-2</v>
      </c>
      <c r="C33" s="102" t="s">
        <v>116</v>
      </c>
      <c r="D33" s="103">
        <v>1</v>
      </c>
      <c r="E33" s="103" t="s">
        <v>1</v>
      </c>
      <c r="F33" s="103">
        <v>1</v>
      </c>
      <c r="G33" s="102" t="s">
        <v>115</v>
      </c>
      <c r="K33" s="8" t="str">
        <f t="shared" si="3"/>
        <v>EMPATE</v>
      </c>
      <c r="L33" s="9">
        <f t="shared" si="4"/>
        <v>1</v>
      </c>
      <c r="M33" s="9">
        <f t="shared" si="5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86"/>
      <c r="R33" s="111"/>
      <c r="S33" s="111"/>
      <c r="T33" s="111"/>
      <c r="U33" s="86"/>
    </row>
    <row r="34" spans="1:21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1</v>
      </c>
      <c r="G34" s="102" t="s">
        <v>14</v>
      </c>
      <c r="K34" s="8" t="str">
        <f t="shared" si="3"/>
        <v>Holanda</v>
      </c>
      <c r="L34" s="9">
        <f t="shared" si="4"/>
        <v>2</v>
      </c>
      <c r="M34" s="9">
        <f t="shared" si="5"/>
        <v>1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4</v>
      </c>
      <c r="Q34" s="86"/>
      <c r="R34" s="111"/>
      <c r="S34" s="111"/>
      <c r="T34" s="111"/>
      <c r="U34" s="86"/>
    </row>
    <row r="35" spans="1:21" x14ac:dyDescent="0.3">
      <c r="A35" s="100">
        <v>46193</v>
      </c>
      <c r="B35" s="101">
        <v>0.70833333333333337</v>
      </c>
      <c r="C35" s="102" t="s">
        <v>12</v>
      </c>
      <c r="D35" s="103">
        <v>2</v>
      </c>
      <c r="E35" s="103" t="s">
        <v>1</v>
      </c>
      <c r="F35" s="103">
        <v>1</v>
      </c>
      <c r="G35" s="102" t="s">
        <v>118</v>
      </c>
      <c r="K35" s="8" t="str">
        <f t="shared" si="3"/>
        <v>Alemanha</v>
      </c>
      <c r="L35" s="9">
        <f t="shared" si="4"/>
        <v>2</v>
      </c>
      <c r="M35" s="9">
        <f t="shared" si="5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9</v>
      </c>
      <c r="Q35" s="86"/>
      <c r="R35" s="111"/>
      <c r="S35" s="111"/>
      <c r="T35" s="111"/>
      <c r="U35" s="86"/>
    </row>
    <row r="36" spans="1:21" x14ac:dyDescent="0.3">
      <c r="A36" s="100">
        <v>46193</v>
      </c>
      <c r="B36" s="101">
        <v>0.875</v>
      </c>
      <c r="C36" s="102" t="s">
        <v>102</v>
      </c>
      <c r="D36" s="103">
        <v>2</v>
      </c>
      <c r="E36" s="103" t="s">
        <v>1</v>
      </c>
      <c r="F36" s="103">
        <v>1</v>
      </c>
      <c r="G36" s="102" t="s">
        <v>117</v>
      </c>
      <c r="K36" s="8" t="str">
        <f t="shared" si="3"/>
        <v>Equador</v>
      </c>
      <c r="L36" s="9">
        <f t="shared" si="4"/>
        <v>2</v>
      </c>
      <c r="M36" s="9">
        <f t="shared" si="5"/>
        <v>1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86"/>
      <c r="R36" s="111"/>
      <c r="S36" s="111"/>
      <c r="T36" s="111"/>
      <c r="U36" s="86"/>
    </row>
    <row r="37" spans="1:21" x14ac:dyDescent="0.3">
      <c r="A37" s="100">
        <v>46194</v>
      </c>
      <c r="B37" s="101">
        <v>4.1666666666666664E-2</v>
      </c>
      <c r="C37" s="102" t="s">
        <v>17</v>
      </c>
      <c r="D37" s="103">
        <v>1</v>
      </c>
      <c r="E37" s="103" t="s">
        <v>1</v>
      </c>
      <c r="F37" s="103">
        <v>2</v>
      </c>
      <c r="G37" s="102" t="s">
        <v>19</v>
      </c>
      <c r="K37" s="8" t="str">
        <f t="shared" si="3"/>
        <v>Japão</v>
      </c>
      <c r="L37" s="9">
        <f t="shared" si="4"/>
        <v>2</v>
      </c>
      <c r="M37" s="9">
        <f t="shared" si="5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86"/>
      <c r="R37" s="111"/>
      <c r="S37" s="111"/>
      <c r="T37" s="111"/>
      <c r="U37" s="86"/>
    </row>
    <row r="38" spans="1:21" x14ac:dyDescent="0.3">
      <c r="A38" s="100">
        <v>46194</v>
      </c>
      <c r="B38" s="101">
        <v>0.54166666666666663</v>
      </c>
      <c r="C38" s="102" t="s">
        <v>6</v>
      </c>
      <c r="D38" s="103">
        <v>2</v>
      </c>
      <c r="E38" s="103" t="s">
        <v>1</v>
      </c>
      <c r="F38" s="103">
        <v>0</v>
      </c>
      <c r="G38" s="102" t="s">
        <v>2</v>
      </c>
      <c r="K38" s="8" t="str">
        <f t="shared" si="3"/>
        <v>Espanha</v>
      </c>
      <c r="L38" s="9">
        <f t="shared" si="4"/>
        <v>2</v>
      </c>
      <c r="M38" s="9">
        <f t="shared" si="5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86"/>
      <c r="R38" s="111"/>
      <c r="S38" s="111"/>
      <c r="T38" s="111"/>
      <c r="U38" s="86"/>
    </row>
    <row r="39" spans="1:21" x14ac:dyDescent="0.3">
      <c r="A39" s="100">
        <v>46194</v>
      </c>
      <c r="B39" s="101">
        <v>0.66666666666666663</v>
      </c>
      <c r="C39" s="102" t="s">
        <v>16</v>
      </c>
      <c r="D39" s="103">
        <v>2</v>
      </c>
      <c r="E39" s="103" t="s">
        <v>1</v>
      </c>
      <c r="F39" s="103">
        <v>1</v>
      </c>
      <c r="G39" s="102" t="s">
        <v>103</v>
      </c>
      <c r="K39" s="8" t="str">
        <f t="shared" si="3"/>
        <v>Bélgica</v>
      </c>
      <c r="L39" s="9">
        <f t="shared" si="4"/>
        <v>2</v>
      </c>
      <c r="M39" s="9">
        <f t="shared" si="5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86"/>
      <c r="R39" s="111"/>
      <c r="S39" s="111"/>
      <c r="T39" s="111"/>
      <c r="U39" s="86"/>
    </row>
    <row r="40" spans="1:21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1</v>
      </c>
      <c r="G40" s="102" t="s">
        <v>121</v>
      </c>
      <c r="K40" s="8" t="str">
        <f t="shared" si="3"/>
        <v>Uruguai</v>
      </c>
      <c r="L40" s="9">
        <f t="shared" si="4"/>
        <v>2</v>
      </c>
      <c r="M40" s="9">
        <f t="shared" si="5"/>
        <v>1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86"/>
      <c r="R40" s="111"/>
      <c r="S40" s="111"/>
      <c r="T40" s="111"/>
      <c r="U40" s="86"/>
    </row>
    <row r="41" spans="1:21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1</v>
      </c>
      <c r="G41" s="102" t="s">
        <v>119</v>
      </c>
      <c r="K41" s="8" t="str">
        <f t="shared" si="3"/>
        <v>EMPATE</v>
      </c>
      <c r="L41" s="9">
        <f t="shared" si="4"/>
        <v>1</v>
      </c>
      <c r="M41" s="9">
        <f t="shared" si="5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86"/>
      <c r="R41" s="111"/>
      <c r="S41" s="111"/>
      <c r="T41" s="111"/>
      <c r="U41" s="86"/>
    </row>
    <row r="42" spans="1:21" x14ac:dyDescent="0.3">
      <c r="A42" s="100">
        <v>46195</v>
      </c>
      <c r="B42" s="101">
        <v>0.58333333333333337</v>
      </c>
      <c r="C42" s="102" t="s">
        <v>9</v>
      </c>
      <c r="D42" s="103">
        <v>2</v>
      </c>
      <c r="E42" s="103" t="s">
        <v>1</v>
      </c>
      <c r="F42" s="103">
        <v>1</v>
      </c>
      <c r="G42" s="102" t="s">
        <v>125</v>
      </c>
      <c r="K42" s="8" t="str">
        <f t="shared" si="3"/>
        <v>Argentina</v>
      </c>
      <c r="L42" s="9">
        <f t="shared" si="4"/>
        <v>2</v>
      </c>
      <c r="M42" s="9">
        <f t="shared" si="5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86"/>
      <c r="R42" s="111"/>
      <c r="S42" s="111"/>
      <c r="T42" s="111"/>
      <c r="U42" s="86"/>
    </row>
    <row r="43" spans="1:21" x14ac:dyDescent="0.3">
      <c r="A43" s="100">
        <v>46195</v>
      </c>
      <c r="B43" s="101">
        <v>0.75</v>
      </c>
      <c r="C43" s="102" t="s">
        <v>7</v>
      </c>
      <c r="D43" s="103">
        <v>2</v>
      </c>
      <c r="E43" s="103" t="s">
        <v>1</v>
      </c>
      <c r="F43" s="103">
        <v>0</v>
      </c>
      <c r="G43" s="102" t="s">
        <v>122</v>
      </c>
      <c r="K43" s="8" t="str">
        <f t="shared" si="3"/>
        <v>França</v>
      </c>
      <c r="L43" s="9">
        <f t="shared" si="4"/>
        <v>2</v>
      </c>
      <c r="M43" s="9">
        <f t="shared" si="5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4</v>
      </c>
      <c r="Q43" s="86"/>
      <c r="R43" s="111"/>
      <c r="S43" s="111"/>
      <c r="T43" s="111"/>
      <c r="U43" s="86"/>
    </row>
    <row r="44" spans="1:21" x14ac:dyDescent="0.3">
      <c r="A44" s="100">
        <v>46195</v>
      </c>
      <c r="B44" s="101">
        <v>0.875</v>
      </c>
      <c r="C44" s="102" t="s">
        <v>123</v>
      </c>
      <c r="D44" s="103">
        <v>1</v>
      </c>
      <c r="E44" s="103" t="s">
        <v>1</v>
      </c>
      <c r="F44" s="103">
        <v>1</v>
      </c>
      <c r="G44" s="102" t="s">
        <v>20</v>
      </c>
      <c r="K44" s="8" t="str">
        <f t="shared" si="3"/>
        <v>EMPATE</v>
      </c>
      <c r="L44" s="9">
        <f t="shared" si="4"/>
        <v>1</v>
      </c>
      <c r="M44" s="9">
        <f t="shared" si="5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0</v>
      </c>
      <c r="Q44" s="86"/>
      <c r="R44" s="111"/>
      <c r="S44" s="111"/>
      <c r="T44" s="111"/>
      <c r="U44" s="86"/>
    </row>
    <row r="45" spans="1:21" x14ac:dyDescent="0.3">
      <c r="A45" s="100">
        <v>46196</v>
      </c>
      <c r="B45" s="101">
        <v>0</v>
      </c>
      <c r="C45" s="102" t="s">
        <v>126</v>
      </c>
      <c r="D45" s="103">
        <v>1</v>
      </c>
      <c r="E45" s="103" t="s">
        <v>1</v>
      </c>
      <c r="F45" s="103">
        <v>2</v>
      </c>
      <c r="G45" s="102" t="s">
        <v>124</v>
      </c>
      <c r="K45" s="8" t="str">
        <f t="shared" si="3"/>
        <v>Argélia</v>
      </c>
      <c r="L45" s="9">
        <f t="shared" si="4"/>
        <v>2</v>
      </c>
      <c r="M45" s="9">
        <f t="shared" si="5"/>
        <v>1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9</v>
      </c>
      <c r="Q45" s="86"/>
      <c r="R45" s="111"/>
      <c r="S45" s="111"/>
      <c r="T45" s="111"/>
      <c r="U45" s="86"/>
    </row>
    <row r="46" spans="1:21" ht="15" customHeight="1" x14ac:dyDescent="0.3">
      <c r="A46" s="100">
        <v>46196</v>
      </c>
      <c r="B46" s="101">
        <v>0.58333333333333337</v>
      </c>
      <c r="C46" s="102" t="s">
        <v>5</v>
      </c>
      <c r="D46" s="103">
        <v>2</v>
      </c>
      <c r="E46" s="103" t="s">
        <v>1</v>
      </c>
      <c r="F46" s="103">
        <v>0</v>
      </c>
      <c r="G46" s="102" t="s">
        <v>128</v>
      </c>
      <c r="K46" s="8" t="str">
        <f t="shared" si="3"/>
        <v>Portugal</v>
      </c>
      <c r="L46" s="9">
        <f t="shared" si="4"/>
        <v>2</v>
      </c>
      <c r="M46" s="9">
        <f t="shared" si="5"/>
        <v>0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4</v>
      </c>
      <c r="Q46" s="86"/>
      <c r="R46" s="111"/>
      <c r="S46" s="111"/>
      <c r="T46" s="111"/>
      <c r="U46" s="86"/>
    </row>
    <row r="47" spans="1:21" x14ac:dyDescent="0.3">
      <c r="A47" s="100">
        <v>46196</v>
      </c>
      <c r="B47" s="101">
        <v>0.70833333333333337</v>
      </c>
      <c r="C47" s="102" t="s">
        <v>18</v>
      </c>
      <c r="D47" s="103">
        <v>2</v>
      </c>
      <c r="E47" s="103" t="s">
        <v>1</v>
      </c>
      <c r="F47" s="103">
        <v>1</v>
      </c>
      <c r="G47" s="102" t="s">
        <v>106</v>
      </c>
      <c r="K47" s="8" t="str">
        <f t="shared" si="3"/>
        <v>Inglaterra</v>
      </c>
      <c r="L47" s="9">
        <f t="shared" si="4"/>
        <v>2</v>
      </c>
      <c r="M47" s="9">
        <f t="shared" si="5"/>
        <v>1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  <c r="Q47" s="86"/>
      <c r="R47" s="111"/>
      <c r="S47" s="111"/>
      <c r="T47" s="111"/>
      <c r="U47" s="86"/>
    </row>
    <row r="48" spans="1:21" x14ac:dyDescent="0.3">
      <c r="A48" s="100">
        <v>46196</v>
      </c>
      <c r="B48" s="101">
        <v>0.83333333333333337</v>
      </c>
      <c r="C48" s="102" t="s">
        <v>130</v>
      </c>
      <c r="D48" s="103">
        <v>1</v>
      </c>
      <c r="E48" s="103" t="s">
        <v>1</v>
      </c>
      <c r="F48" s="103">
        <v>2</v>
      </c>
      <c r="G48" s="102" t="s">
        <v>10</v>
      </c>
      <c r="K48" s="8" t="str">
        <f t="shared" si="3"/>
        <v>Croácia</v>
      </c>
      <c r="L48" s="9">
        <f t="shared" si="4"/>
        <v>2</v>
      </c>
      <c r="M48" s="9">
        <f t="shared" si="5"/>
        <v>1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3</v>
      </c>
      <c r="Q48" s="86"/>
      <c r="R48" s="111"/>
      <c r="S48" s="111"/>
      <c r="T48" s="111"/>
      <c r="U48" s="86"/>
    </row>
    <row r="49" spans="1:21" x14ac:dyDescent="0.3">
      <c r="A49" s="104">
        <v>46196</v>
      </c>
      <c r="B49" s="101">
        <v>0.95833333333333337</v>
      </c>
      <c r="C49" s="105" t="s">
        <v>129</v>
      </c>
      <c r="D49" s="106">
        <v>2</v>
      </c>
      <c r="E49" s="106" t="s">
        <v>1</v>
      </c>
      <c r="F49" s="106">
        <v>1</v>
      </c>
      <c r="G49" s="105" t="s">
        <v>127</v>
      </c>
      <c r="K49" s="8" t="str">
        <f t="shared" si="3"/>
        <v>Colômbia</v>
      </c>
      <c r="L49" s="9">
        <f t="shared" si="4"/>
        <v>2</v>
      </c>
      <c r="M49" s="9">
        <f t="shared" si="5"/>
        <v>1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3</v>
      </c>
      <c r="Q49" s="86"/>
      <c r="R49" s="111"/>
      <c r="S49" s="111"/>
      <c r="T49" s="111"/>
      <c r="U49" s="86"/>
    </row>
    <row r="50" spans="1:21" x14ac:dyDescent="0.3">
      <c r="A50" s="56">
        <v>46197</v>
      </c>
      <c r="B50" s="54">
        <v>0.66666666666666663</v>
      </c>
      <c r="C50" s="57" t="s">
        <v>72</v>
      </c>
      <c r="D50" s="58">
        <v>2</v>
      </c>
      <c r="E50" s="58" t="s">
        <v>1</v>
      </c>
      <c r="F50" s="58">
        <v>2</v>
      </c>
      <c r="G50" s="57" t="s">
        <v>105</v>
      </c>
      <c r="K50" s="8" t="str">
        <f t="shared" si="3"/>
        <v>EMPATE</v>
      </c>
      <c r="L50" s="9">
        <f t="shared" si="4"/>
        <v>2</v>
      </c>
      <c r="M50" s="9">
        <f t="shared" si="5"/>
        <v>2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0</v>
      </c>
      <c r="Q50" s="86"/>
      <c r="R50" s="48"/>
      <c r="S50" s="48"/>
      <c r="T50" s="48"/>
      <c r="U50" s="86"/>
    </row>
    <row r="51" spans="1:21" x14ac:dyDescent="0.3">
      <c r="A51" s="56">
        <v>46197</v>
      </c>
      <c r="B51" s="54">
        <v>0.66666666666666663</v>
      </c>
      <c r="C51" s="57" t="s">
        <v>112</v>
      </c>
      <c r="D51" s="58">
        <v>1</v>
      </c>
      <c r="E51" s="58" t="s">
        <v>1</v>
      </c>
      <c r="F51" s="58">
        <v>0</v>
      </c>
      <c r="G51" s="57" t="s">
        <v>97</v>
      </c>
      <c r="K51" s="8" t="str">
        <f t="shared" si="3"/>
        <v>Bósnia</v>
      </c>
      <c r="L51" s="9">
        <f t="shared" si="4"/>
        <v>1</v>
      </c>
      <c r="M51" s="9">
        <f t="shared" si="5"/>
        <v>0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3</v>
      </c>
      <c r="Q51" s="86"/>
      <c r="R51" s="48"/>
      <c r="S51" s="48"/>
      <c r="T51" s="48"/>
      <c r="U51" s="86"/>
    </row>
    <row r="52" spans="1:21" x14ac:dyDescent="0.3">
      <c r="A52" s="56">
        <v>46197</v>
      </c>
      <c r="B52" s="54">
        <v>0.79166666666666663</v>
      </c>
      <c r="C52" s="59" t="s">
        <v>4</v>
      </c>
      <c r="D52" s="58">
        <v>2</v>
      </c>
      <c r="E52" s="58" t="s">
        <v>1</v>
      </c>
      <c r="F52" s="58">
        <v>0</v>
      </c>
      <c r="G52" s="59" t="s">
        <v>113</v>
      </c>
      <c r="K52" s="8" t="str">
        <f t="shared" si="3"/>
        <v>Marrocos</v>
      </c>
      <c r="L52" s="9">
        <f t="shared" si="4"/>
        <v>2</v>
      </c>
      <c r="M52" s="9">
        <f t="shared" si="5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</row>
    <row r="53" spans="1:21" x14ac:dyDescent="0.3">
      <c r="A53" s="56">
        <v>46197</v>
      </c>
      <c r="B53" s="54">
        <v>0.79166666666666663</v>
      </c>
      <c r="C53" s="59" t="s">
        <v>114</v>
      </c>
      <c r="D53" s="58">
        <v>1</v>
      </c>
      <c r="E53" s="58" t="s">
        <v>1</v>
      </c>
      <c r="F53" s="58">
        <v>2</v>
      </c>
      <c r="G53" s="59" t="s">
        <v>11</v>
      </c>
      <c r="K53" s="8" t="str">
        <f t="shared" si="3"/>
        <v>Brasil</v>
      </c>
      <c r="L53" s="9">
        <f t="shared" si="4"/>
        <v>2</v>
      </c>
      <c r="M53" s="9">
        <f t="shared" si="5"/>
        <v>1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3</v>
      </c>
      <c r="Q53" s="117"/>
      <c r="R53" s="48"/>
      <c r="S53" s="48"/>
      <c r="T53" s="48"/>
      <c r="U53" s="117"/>
    </row>
    <row r="54" spans="1:21" x14ac:dyDescent="0.3">
      <c r="A54" s="53">
        <v>46197</v>
      </c>
      <c r="B54" s="54">
        <v>0.91666666666666663</v>
      </c>
      <c r="C54" s="55" t="s">
        <v>88</v>
      </c>
      <c r="D54" s="46">
        <v>1</v>
      </c>
      <c r="E54" s="46" t="s">
        <v>1</v>
      </c>
      <c r="F54" s="46">
        <v>2</v>
      </c>
      <c r="G54" s="55" t="s">
        <v>15</v>
      </c>
      <c r="K54" s="8" t="str">
        <f t="shared" si="3"/>
        <v>Coréia do Sul</v>
      </c>
      <c r="L54" s="9">
        <f t="shared" si="4"/>
        <v>2</v>
      </c>
      <c r="M54" s="9">
        <f t="shared" si="5"/>
        <v>1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</row>
    <row r="55" spans="1:21" x14ac:dyDescent="0.3">
      <c r="A55" s="53">
        <v>46197</v>
      </c>
      <c r="B55" s="54">
        <v>0.91666666666666663</v>
      </c>
      <c r="C55" s="55" t="s">
        <v>111</v>
      </c>
      <c r="D55" s="46">
        <v>1</v>
      </c>
      <c r="E55" s="46" t="s">
        <v>1</v>
      </c>
      <c r="F55" s="46">
        <v>2</v>
      </c>
      <c r="G55" s="55" t="s">
        <v>13</v>
      </c>
      <c r="K55" s="8" t="str">
        <f t="shared" si="3"/>
        <v>México</v>
      </c>
      <c r="L55" s="9">
        <f t="shared" si="4"/>
        <v>2</v>
      </c>
      <c r="M55" s="9">
        <f t="shared" si="5"/>
        <v>1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3</v>
      </c>
      <c r="Q55" s="86"/>
      <c r="R55" s="48"/>
      <c r="S55" s="48"/>
      <c r="T55" s="48"/>
      <c r="U55" s="86"/>
    </row>
    <row r="56" spans="1:21" x14ac:dyDescent="0.3">
      <c r="A56" s="53">
        <v>46198</v>
      </c>
      <c r="B56" s="54">
        <v>0.70833333333333337</v>
      </c>
      <c r="C56" s="45" t="s">
        <v>102</v>
      </c>
      <c r="D56" s="46">
        <v>0</v>
      </c>
      <c r="E56" s="46" t="s">
        <v>1</v>
      </c>
      <c r="F56" s="46">
        <v>2</v>
      </c>
      <c r="G56" s="45" t="s">
        <v>12</v>
      </c>
      <c r="K56" s="8" t="str">
        <f t="shared" si="3"/>
        <v>Alemanha</v>
      </c>
      <c r="L56" s="9">
        <f t="shared" si="4"/>
        <v>2</v>
      </c>
      <c r="M56" s="9">
        <f t="shared" si="5"/>
        <v>0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</row>
    <row r="57" spans="1:21" x14ac:dyDescent="0.3">
      <c r="A57" s="53">
        <v>46198</v>
      </c>
      <c r="B57" s="54">
        <v>0.70833333333333337</v>
      </c>
      <c r="C57" s="45" t="s">
        <v>117</v>
      </c>
      <c r="D57" s="46">
        <v>1</v>
      </c>
      <c r="E57" s="46" t="s">
        <v>1</v>
      </c>
      <c r="F57" s="46">
        <v>2</v>
      </c>
      <c r="G57" s="45" t="s">
        <v>118</v>
      </c>
      <c r="K57" s="8" t="str">
        <f t="shared" si="3"/>
        <v>Costa do Marfim</v>
      </c>
      <c r="L57" s="9">
        <f t="shared" si="4"/>
        <v>2</v>
      </c>
      <c r="M57" s="9">
        <f t="shared" si="5"/>
        <v>1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6</v>
      </c>
      <c r="Q57" s="117"/>
      <c r="R57" s="48"/>
      <c r="S57" s="48"/>
      <c r="T57" s="48"/>
      <c r="U57" s="117"/>
    </row>
    <row r="58" spans="1:21" x14ac:dyDescent="0.3">
      <c r="A58" s="53">
        <v>46198</v>
      </c>
      <c r="B58" s="54">
        <v>0.83333333333333337</v>
      </c>
      <c r="C58" s="45" t="s">
        <v>17</v>
      </c>
      <c r="D58" s="46">
        <v>0</v>
      </c>
      <c r="E58" s="46" t="s">
        <v>1</v>
      </c>
      <c r="F58" s="46">
        <v>3</v>
      </c>
      <c r="G58" s="45" t="s">
        <v>78</v>
      </c>
      <c r="K58" s="8" t="str">
        <f t="shared" si="3"/>
        <v>Holanda</v>
      </c>
      <c r="L58" s="9">
        <f t="shared" si="4"/>
        <v>3</v>
      </c>
      <c r="M58" s="9">
        <f t="shared" si="5"/>
        <v>0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6</v>
      </c>
      <c r="Q58" s="117"/>
      <c r="R58" s="48"/>
      <c r="S58" s="48"/>
      <c r="T58" s="48"/>
      <c r="U58" s="117"/>
    </row>
    <row r="59" spans="1:21" x14ac:dyDescent="0.3">
      <c r="A59" s="53">
        <v>46198</v>
      </c>
      <c r="B59" s="54">
        <v>0.83333333333333337</v>
      </c>
      <c r="C59" s="45" t="s">
        <v>19</v>
      </c>
      <c r="D59" s="46">
        <v>2</v>
      </c>
      <c r="E59" s="46" t="s">
        <v>1</v>
      </c>
      <c r="F59" s="46">
        <v>1</v>
      </c>
      <c r="G59" s="45" t="s">
        <v>14</v>
      </c>
      <c r="K59" s="8" t="str">
        <f t="shared" si="3"/>
        <v>Japão</v>
      </c>
      <c r="L59" s="9">
        <f t="shared" si="4"/>
        <v>2</v>
      </c>
      <c r="M59" s="9">
        <f t="shared" si="5"/>
        <v>1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0</v>
      </c>
      <c r="Q59" s="117"/>
      <c r="R59" s="48"/>
      <c r="S59" s="48"/>
      <c r="T59" s="48"/>
      <c r="U59" s="117"/>
    </row>
    <row r="60" spans="1:21" x14ac:dyDescent="0.3">
      <c r="A60" s="53">
        <v>46198</v>
      </c>
      <c r="B60" s="54">
        <v>0.95833333333333337</v>
      </c>
      <c r="C60" s="45" t="s">
        <v>116</v>
      </c>
      <c r="D60" s="46">
        <v>0</v>
      </c>
      <c r="E60" s="46" t="s">
        <v>1</v>
      </c>
      <c r="F60" s="46">
        <v>2</v>
      </c>
      <c r="G60" s="45" t="s">
        <v>104</v>
      </c>
      <c r="K60" s="8" t="str">
        <f t="shared" si="3"/>
        <v>Estados Unidos</v>
      </c>
      <c r="L60" s="9">
        <f t="shared" si="4"/>
        <v>2</v>
      </c>
      <c r="M60" s="9">
        <f t="shared" si="5"/>
        <v>0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</row>
    <row r="61" spans="1:21" x14ac:dyDescent="0.3">
      <c r="A61" s="53">
        <v>46198</v>
      </c>
      <c r="B61" s="54">
        <v>0.95833333333333337</v>
      </c>
      <c r="C61" s="45" t="s">
        <v>115</v>
      </c>
      <c r="D61" s="46">
        <v>1</v>
      </c>
      <c r="E61" s="46" t="s">
        <v>1</v>
      </c>
      <c r="F61" s="46">
        <v>1</v>
      </c>
      <c r="G61" s="45" t="s">
        <v>8</v>
      </c>
      <c r="K61" s="8" t="str">
        <f t="shared" si="3"/>
        <v>EMPATE</v>
      </c>
      <c r="L61" s="9">
        <f t="shared" si="4"/>
        <v>1</v>
      </c>
      <c r="M61" s="9">
        <f t="shared" si="5"/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6</v>
      </c>
      <c r="Q61" s="117"/>
      <c r="R61" s="48"/>
      <c r="S61" s="48"/>
      <c r="T61" s="48"/>
      <c r="U61" s="117"/>
    </row>
    <row r="62" spans="1:21" x14ac:dyDescent="0.3">
      <c r="A62" s="53">
        <v>46199</v>
      </c>
      <c r="B62" s="54">
        <v>0.66666666666666663</v>
      </c>
      <c r="C62" s="45" t="s">
        <v>20</v>
      </c>
      <c r="D62" s="46">
        <v>2</v>
      </c>
      <c r="E62" s="46" t="s">
        <v>1</v>
      </c>
      <c r="F62" s="46">
        <v>1</v>
      </c>
      <c r="G62" s="45" t="s">
        <v>122</v>
      </c>
      <c r="K62" s="8" t="str">
        <f t="shared" si="3"/>
        <v>Senegal</v>
      </c>
      <c r="L62" s="9">
        <f t="shared" si="4"/>
        <v>2</v>
      </c>
      <c r="M62" s="9">
        <f t="shared" si="5"/>
        <v>1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3</v>
      </c>
      <c r="Q62" s="117"/>
      <c r="R62" s="48"/>
      <c r="S62" s="48"/>
      <c r="T62" s="48"/>
      <c r="U62" s="117"/>
    </row>
    <row r="63" spans="1:21" x14ac:dyDescent="0.3">
      <c r="A63" s="53">
        <v>46199</v>
      </c>
      <c r="B63" s="54">
        <v>0.66666666666666663</v>
      </c>
      <c r="C63" s="45" t="s">
        <v>123</v>
      </c>
      <c r="D63" s="46">
        <v>1</v>
      </c>
      <c r="E63" s="46" t="s">
        <v>1</v>
      </c>
      <c r="F63" s="46">
        <v>2</v>
      </c>
      <c r="G63" s="45" t="s">
        <v>7</v>
      </c>
      <c r="K63" s="8" t="str">
        <f t="shared" si="3"/>
        <v>França</v>
      </c>
      <c r="L63" s="9">
        <f t="shared" si="4"/>
        <v>2</v>
      </c>
      <c r="M63" s="9">
        <f t="shared" si="5"/>
        <v>1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4</v>
      </c>
      <c r="Q63" s="117"/>
      <c r="R63" s="48"/>
      <c r="S63" s="48"/>
      <c r="T63" s="48"/>
      <c r="U63" s="117"/>
    </row>
    <row r="64" spans="1:21" x14ac:dyDescent="0.3">
      <c r="A64" s="53">
        <v>46199</v>
      </c>
      <c r="B64" s="54">
        <v>0.875</v>
      </c>
      <c r="C64" s="45" t="s">
        <v>121</v>
      </c>
      <c r="D64" s="46">
        <v>1</v>
      </c>
      <c r="E64" s="46" t="s">
        <v>1</v>
      </c>
      <c r="F64" s="46">
        <v>1</v>
      </c>
      <c r="G64" s="45" t="s">
        <v>2</v>
      </c>
      <c r="K64" s="8" t="str">
        <f t="shared" si="3"/>
        <v>EMPATE</v>
      </c>
      <c r="L64" s="9">
        <f t="shared" si="4"/>
        <v>1</v>
      </c>
      <c r="M64" s="9">
        <f t="shared" si="5"/>
        <v>1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6</v>
      </c>
      <c r="Q64" s="117"/>
      <c r="R64" s="48"/>
      <c r="S64" s="48"/>
      <c r="T64" s="48"/>
      <c r="U64" s="117"/>
    </row>
    <row r="65" spans="1:26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2</v>
      </c>
      <c r="G65" s="45" t="s">
        <v>6</v>
      </c>
      <c r="K65" s="8" t="str">
        <f t="shared" si="3"/>
        <v>Espanha</v>
      </c>
      <c r="L65" s="9">
        <f t="shared" si="4"/>
        <v>2</v>
      </c>
      <c r="M65" s="9">
        <f t="shared" si="5"/>
        <v>1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3</v>
      </c>
      <c r="Q65" s="117"/>
      <c r="R65" s="48"/>
      <c r="S65" s="48"/>
      <c r="T65" s="48"/>
      <c r="U65" s="117"/>
    </row>
    <row r="66" spans="1:26" x14ac:dyDescent="0.3">
      <c r="A66" s="53">
        <v>46200</v>
      </c>
      <c r="B66" s="54">
        <v>0</v>
      </c>
      <c r="C66" s="45" t="s">
        <v>119</v>
      </c>
      <c r="D66" s="46">
        <v>2</v>
      </c>
      <c r="E66" s="46" t="s">
        <v>1</v>
      </c>
      <c r="F66" s="46">
        <v>1</v>
      </c>
      <c r="G66" s="45" t="s">
        <v>103</v>
      </c>
      <c r="K66" s="8" t="str">
        <f t="shared" si="3"/>
        <v>Egito</v>
      </c>
      <c r="L66" s="9">
        <f t="shared" si="4"/>
        <v>2</v>
      </c>
      <c r="M66" s="9">
        <f t="shared" si="5"/>
        <v>1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0</v>
      </c>
      <c r="Q66" s="117"/>
      <c r="R66" s="48"/>
      <c r="S66" s="48"/>
      <c r="T66" s="48"/>
      <c r="U66" s="117"/>
    </row>
    <row r="67" spans="1:26" x14ac:dyDescent="0.3">
      <c r="A67" s="53">
        <v>46200</v>
      </c>
      <c r="B67" s="54">
        <v>0</v>
      </c>
      <c r="C67" s="45" t="s">
        <v>120</v>
      </c>
      <c r="D67" s="46">
        <v>1</v>
      </c>
      <c r="E67" s="46" t="s">
        <v>1</v>
      </c>
      <c r="F67" s="46">
        <v>2</v>
      </c>
      <c r="G67" s="45" t="s">
        <v>16</v>
      </c>
      <c r="K67" s="8" t="str">
        <f t="shared" si="3"/>
        <v>Bélgica</v>
      </c>
      <c r="L67" s="9">
        <f t="shared" si="4"/>
        <v>2</v>
      </c>
      <c r="M67" s="9">
        <f t="shared" si="5"/>
        <v>1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4</v>
      </c>
      <c r="Q67" s="117"/>
      <c r="R67" s="48"/>
      <c r="S67" s="48"/>
      <c r="T67" s="48"/>
      <c r="U67" s="117"/>
    </row>
    <row r="68" spans="1:26" x14ac:dyDescent="0.3">
      <c r="A68" s="53">
        <v>46200</v>
      </c>
      <c r="B68" s="54">
        <v>0.75</v>
      </c>
      <c r="C68" s="45" t="s">
        <v>10</v>
      </c>
      <c r="D68" s="46">
        <v>1</v>
      </c>
      <c r="E68" s="46" t="s">
        <v>1</v>
      </c>
      <c r="F68" s="46">
        <v>1</v>
      </c>
      <c r="G68" s="45" t="s">
        <v>106</v>
      </c>
      <c r="K68" s="8" t="str">
        <f t="shared" ref="K68:K73" si="7">IF(D68="","",IF(D68&gt;F68,C68,IF(F68&gt;D68,G68,"EMPATE")))</f>
        <v>EMPATE</v>
      </c>
      <c r="L68" s="9">
        <f t="shared" ref="L68:L73" si="8">IF(D68="","",IF(D68&gt;F68,D68,IF(F68&gt;D68,F68,D68)))</f>
        <v>1</v>
      </c>
      <c r="M68" s="9">
        <f t="shared" ref="M68:M73" si="9">IF(D68="","",IF(D68&lt;F68,D68,IF(F68&lt;D68,F68,D68)))</f>
        <v>1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0</v>
      </c>
      <c r="Q68" s="117"/>
      <c r="R68" s="48"/>
      <c r="S68" s="48"/>
      <c r="T68" s="48"/>
      <c r="U68" s="117"/>
    </row>
    <row r="69" spans="1:26" x14ac:dyDescent="0.3">
      <c r="A69" s="53">
        <v>46200</v>
      </c>
      <c r="B69" s="54">
        <v>0.75</v>
      </c>
      <c r="C69" s="45" t="s">
        <v>130</v>
      </c>
      <c r="D69" s="46">
        <v>0</v>
      </c>
      <c r="E69" s="46" t="s">
        <v>1</v>
      </c>
      <c r="F69" s="46">
        <v>3</v>
      </c>
      <c r="G69" s="45" t="s">
        <v>18</v>
      </c>
      <c r="K69" s="8" t="str">
        <f t="shared" si="7"/>
        <v>Inglaterra</v>
      </c>
      <c r="L69" s="9">
        <f t="shared" si="8"/>
        <v>3</v>
      </c>
      <c r="M69" s="9">
        <f t="shared" si="9"/>
        <v>0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4</v>
      </c>
      <c r="Q69" s="117"/>
      <c r="R69" s="48"/>
      <c r="S69" s="48"/>
      <c r="T69" s="48"/>
      <c r="U69" s="117"/>
    </row>
    <row r="70" spans="1:26" x14ac:dyDescent="0.3">
      <c r="A70" s="53">
        <v>46200</v>
      </c>
      <c r="B70" s="54">
        <v>0.85416666666666663</v>
      </c>
      <c r="C70" s="45" t="s">
        <v>127</v>
      </c>
      <c r="D70" s="46">
        <v>2</v>
      </c>
      <c r="E70" s="46" t="s">
        <v>1</v>
      </c>
      <c r="F70" s="46">
        <v>0</v>
      </c>
      <c r="G70" s="45" t="s">
        <v>128</v>
      </c>
      <c r="K70" s="8" t="str">
        <f t="shared" si="7"/>
        <v>RD Congo</v>
      </c>
      <c r="L70" s="9">
        <f t="shared" si="8"/>
        <v>2</v>
      </c>
      <c r="M70" s="9">
        <f t="shared" si="9"/>
        <v>0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3</v>
      </c>
      <c r="Q70" s="117"/>
      <c r="R70" s="48"/>
      <c r="S70" s="48"/>
      <c r="T70" s="48"/>
      <c r="U70" s="117"/>
    </row>
    <row r="71" spans="1:26" x14ac:dyDescent="0.3">
      <c r="A71" s="53">
        <v>46200</v>
      </c>
      <c r="B71" s="54">
        <v>0.85416666666666663</v>
      </c>
      <c r="C71" s="45" t="s">
        <v>129</v>
      </c>
      <c r="D71" s="46">
        <v>1</v>
      </c>
      <c r="E71" s="46" t="s">
        <v>1</v>
      </c>
      <c r="F71" s="46">
        <v>1</v>
      </c>
      <c r="G71" s="45" t="s">
        <v>5</v>
      </c>
      <c r="K71" s="8" t="str">
        <f t="shared" si="7"/>
        <v>EMPATE</v>
      </c>
      <c r="L71" s="9">
        <f t="shared" si="8"/>
        <v>1</v>
      </c>
      <c r="M71" s="9">
        <f t="shared" si="9"/>
        <v>1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6</v>
      </c>
      <c r="Q71" s="117"/>
      <c r="R71" s="48"/>
      <c r="S71" s="48"/>
      <c r="T71" s="48"/>
      <c r="U71" s="117"/>
    </row>
    <row r="72" spans="1:26" x14ac:dyDescent="0.3">
      <c r="A72" s="53">
        <v>46200</v>
      </c>
      <c r="B72" s="54">
        <v>0.95833333333333337</v>
      </c>
      <c r="C72" s="45" t="s">
        <v>126</v>
      </c>
      <c r="D72" s="46">
        <v>0</v>
      </c>
      <c r="E72" s="46" t="s">
        <v>1</v>
      </c>
      <c r="F72" s="46">
        <v>3</v>
      </c>
      <c r="G72" s="45" t="s">
        <v>9</v>
      </c>
      <c r="K72" s="8" t="str">
        <f t="shared" si="7"/>
        <v>Argentina</v>
      </c>
      <c r="L72" s="9">
        <f t="shared" si="8"/>
        <v>3</v>
      </c>
      <c r="M72" s="9">
        <f t="shared" si="9"/>
        <v>0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6</v>
      </c>
      <c r="Q72" s="117"/>
      <c r="R72" s="48"/>
      <c r="S72" s="48"/>
      <c r="T72" s="48"/>
      <c r="U72" s="117"/>
    </row>
    <row r="73" spans="1:26" x14ac:dyDescent="0.3">
      <c r="A73" s="53">
        <v>46200</v>
      </c>
      <c r="B73" s="54">
        <v>0.95833333333333337</v>
      </c>
      <c r="C73" s="45" t="s">
        <v>124</v>
      </c>
      <c r="D73" s="46">
        <v>1</v>
      </c>
      <c r="E73" s="46" t="s">
        <v>1</v>
      </c>
      <c r="F73" s="46">
        <v>1</v>
      </c>
      <c r="G73" s="45" t="s">
        <v>125</v>
      </c>
      <c r="K73" s="8" t="str">
        <f t="shared" si="7"/>
        <v>EMPATE</v>
      </c>
      <c r="L73" s="9">
        <f t="shared" si="8"/>
        <v>1</v>
      </c>
      <c r="M73" s="9">
        <f t="shared" si="9"/>
        <v>1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6</v>
      </c>
      <c r="Q73" s="117"/>
      <c r="R73" s="48"/>
      <c r="S73" s="48"/>
      <c r="T73" s="48"/>
      <c r="U73" s="117"/>
    </row>
    <row r="74" spans="1:26" x14ac:dyDescent="0.3">
      <c r="A74" s="60">
        <v>46201</v>
      </c>
      <c r="B74" s="61">
        <v>0.66666666666666663</v>
      </c>
      <c r="C74" s="62" t="s">
        <v>88</v>
      </c>
      <c r="D74" s="123">
        <v>1</v>
      </c>
      <c r="E74" s="123" t="s">
        <v>1</v>
      </c>
      <c r="F74" s="123">
        <v>2</v>
      </c>
      <c r="G74" s="62" t="s">
        <v>105</v>
      </c>
      <c r="K74" s="8" t="str">
        <f t="shared" ref="K74:K105" si="10">IF(D74="","",IF(D74&gt;F74,C74,IF(F74&gt;D74,G74,"EMPATE")))</f>
        <v>Canadá</v>
      </c>
      <c r="L74" s="9">
        <f t="shared" ref="L74:L105" si="11">IF(D74="","",IF(D74&gt;F74,D74,IF(F74&gt;D74,F74,D74)))</f>
        <v>2</v>
      </c>
      <c r="M74" s="9">
        <f t="shared" ref="M74:M105" si="12">IF(D74="","",IF(D74&lt;F74,D74,IF(F74&lt;D74,F74,D74)))</f>
        <v>1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122" t="s">
        <v>88</v>
      </c>
      <c r="R74" s="123">
        <v>1</v>
      </c>
      <c r="S74" s="123" t="s">
        <v>1</v>
      </c>
      <c r="T74" s="123">
        <v>2</v>
      </c>
      <c r="U74" s="122" t="s">
        <v>105</v>
      </c>
      <c r="V74" t="b">
        <f>Q74=C74</f>
        <v>1</v>
      </c>
      <c r="Z74" t="b">
        <f>U74=G74</f>
        <v>1</v>
      </c>
    </row>
    <row r="75" spans="1:26" x14ac:dyDescent="0.3">
      <c r="A75" s="60">
        <v>46202</v>
      </c>
      <c r="B75" s="61">
        <v>0.58333333333333337</v>
      </c>
      <c r="C75" s="62" t="s">
        <v>11</v>
      </c>
      <c r="D75" s="123">
        <v>3</v>
      </c>
      <c r="E75" s="123" t="s">
        <v>1</v>
      </c>
      <c r="F75" s="123">
        <v>1</v>
      </c>
      <c r="G75" s="62" t="s">
        <v>19</v>
      </c>
      <c r="K75" s="8" t="str">
        <f t="shared" si="10"/>
        <v>Brasil</v>
      </c>
      <c r="L75" s="9">
        <f t="shared" si="11"/>
        <v>3</v>
      </c>
      <c r="M75" s="9">
        <f t="shared" si="12"/>
        <v>1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122" t="s">
        <v>11</v>
      </c>
      <c r="R75" s="123">
        <v>3</v>
      </c>
      <c r="S75" s="123" t="s">
        <v>1</v>
      </c>
      <c r="T75" s="123">
        <v>1</v>
      </c>
      <c r="U75" s="122" t="s">
        <v>19</v>
      </c>
      <c r="V75" t="b">
        <f t="shared" ref="V75:V89" si="13">Q75=C75</f>
        <v>1</v>
      </c>
      <c r="Z75" t="b">
        <f t="shared" ref="Z75:Z89" si="14">U75=G75</f>
        <v>1</v>
      </c>
    </row>
    <row r="76" spans="1:26" x14ac:dyDescent="0.3">
      <c r="A76" s="60">
        <v>46202</v>
      </c>
      <c r="B76" s="61">
        <v>0.72916666666666663</v>
      </c>
      <c r="C76" s="62" t="s">
        <v>12</v>
      </c>
      <c r="D76" s="123">
        <v>3</v>
      </c>
      <c r="E76" s="123" t="s">
        <v>1</v>
      </c>
      <c r="F76" s="123">
        <v>0</v>
      </c>
      <c r="G76" s="62" t="s">
        <v>115</v>
      </c>
      <c r="K76" s="8" t="str">
        <f t="shared" si="10"/>
        <v>Alemanha</v>
      </c>
      <c r="L76" s="9">
        <f t="shared" si="11"/>
        <v>3</v>
      </c>
      <c r="M76" s="9">
        <f t="shared" si="12"/>
        <v>0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122" t="s">
        <v>12</v>
      </c>
      <c r="R76" s="123">
        <v>3</v>
      </c>
      <c r="S76" s="123" t="s">
        <v>1</v>
      </c>
      <c r="T76" s="123">
        <v>0</v>
      </c>
      <c r="U76" s="122" t="s">
        <v>115</v>
      </c>
      <c r="V76" t="b">
        <f t="shared" si="13"/>
        <v>1</v>
      </c>
      <c r="Z76" t="b">
        <f t="shared" si="14"/>
        <v>1</v>
      </c>
    </row>
    <row r="77" spans="1:26" x14ac:dyDescent="0.3">
      <c r="A77" s="60">
        <v>46202</v>
      </c>
      <c r="B77" s="61">
        <v>0.91666666666666663</v>
      </c>
      <c r="C77" s="62" t="s">
        <v>78</v>
      </c>
      <c r="D77" s="123">
        <v>2</v>
      </c>
      <c r="E77" s="123" t="s">
        <v>1</v>
      </c>
      <c r="F77" s="123">
        <v>1</v>
      </c>
      <c r="G77" s="62" t="s">
        <v>4</v>
      </c>
      <c r="K77" s="8" t="str">
        <f t="shared" si="10"/>
        <v>Holanda</v>
      </c>
      <c r="L77" s="9">
        <f t="shared" si="11"/>
        <v>2</v>
      </c>
      <c r="M77" s="9">
        <f t="shared" si="12"/>
        <v>1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122" t="s">
        <v>78</v>
      </c>
      <c r="R77" s="123">
        <v>2</v>
      </c>
      <c r="S77" s="123" t="s">
        <v>1</v>
      </c>
      <c r="T77" s="123">
        <v>1</v>
      </c>
      <c r="U77" s="122" t="s">
        <v>4</v>
      </c>
      <c r="V77" t="b">
        <f t="shared" si="13"/>
        <v>1</v>
      </c>
      <c r="Z77" t="b">
        <f t="shared" si="14"/>
        <v>1</v>
      </c>
    </row>
    <row r="78" spans="1:26" x14ac:dyDescent="0.3">
      <c r="A78" s="60">
        <v>46203</v>
      </c>
      <c r="B78" s="61">
        <v>0.58333333333333337</v>
      </c>
      <c r="C78" s="62" t="s">
        <v>118</v>
      </c>
      <c r="D78" s="123">
        <v>1</v>
      </c>
      <c r="E78" s="123" t="s">
        <v>1</v>
      </c>
      <c r="F78" s="123">
        <v>2</v>
      </c>
      <c r="G78" s="62" t="s">
        <v>123</v>
      </c>
      <c r="K78" s="8" t="str">
        <f t="shared" si="10"/>
        <v>Noruega</v>
      </c>
      <c r="L78" s="9">
        <f t="shared" si="11"/>
        <v>2</v>
      </c>
      <c r="M78" s="9">
        <f t="shared" si="12"/>
        <v>1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122" t="s">
        <v>118</v>
      </c>
      <c r="R78" s="123">
        <v>1</v>
      </c>
      <c r="S78" s="123" t="s">
        <v>1</v>
      </c>
      <c r="T78" s="123">
        <v>2</v>
      </c>
      <c r="U78" s="122" t="s">
        <v>123</v>
      </c>
      <c r="V78" t="b">
        <f t="shared" si="13"/>
        <v>1</v>
      </c>
      <c r="Z78" t="b">
        <f t="shared" si="14"/>
        <v>1</v>
      </c>
    </row>
    <row r="79" spans="1:26" x14ac:dyDescent="0.3">
      <c r="A79" s="60">
        <v>46203</v>
      </c>
      <c r="B79" s="61">
        <v>0.75</v>
      </c>
      <c r="C79" s="62" t="s">
        <v>7</v>
      </c>
      <c r="D79" s="123">
        <v>3</v>
      </c>
      <c r="E79" s="123" t="s">
        <v>1</v>
      </c>
      <c r="F79" s="123">
        <v>0</v>
      </c>
      <c r="G79" s="62" t="s">
        <v>14</v>
      </c>
      <c r="K79" s="8" t="str">
        <f t="shared" si="10"/>
        <v>França</v>
      </c>
      <c r="L79" s="9">
        <f t="shared" si="11"/>
        <v>3</v>
      </c>
      <c r="M79" s="9">
        <f t="shared" si="12"/>
        <v>0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122" t="s">
        <v>7</v>
      </c>
      <c r="R79" s="123">
        <v>3</v>
      </c>
      <c r="S79" s="123" t="s">
        <v>1</v>
      </c>
      <c r="T79" s="123">
        <v>0</v>
      </c>
      <c r="U79" s="122" t="s">
        <v>14</v>
      </c>
      <c r="V79" t="b">
        <f t="shared" si="13"/>
        <v>1</v>
      </c>
      <c r="Z79" t="b">
        <f t="shared" si="14"/>
        <v>1</v>
      </c>
    </row>
    <row r="80" spans="1:26" x14ac:dyDescent="0.3">
      <c r="A80" s="60">
        <v>46203</v>
      </c>
      <c r="B80" s="61">
        <v>0.91666666666666663</v>
      </c>
      <c r="C80" s="62" t="s">
        <v>13</v>
      </c>
      <c r="D80" s="123">
        <v>2</v>
      </c>
      <c r="E80" s="123" t="s">
        <v>1</v>
      </c>
      <c r="F80" s="123">
        <v>0</v>
      </c>
      <c r="G80" s="62" t="s">
        <v>102</v>
      </c>
      <c r="K80" s="8" t="str">
        <f t="shared" si="10"/>
        <v>México</v>
      </c>
      <c r="L80" s="9">
        <f t="shared" si="11"/>
        <v>2</v>
      </c>
      <c r="M80" s="9">
        <f t="shared" si="12"/>
        <v>0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122" t="s">
        <v>13</v>
      </c>
      <c r="R80" s="123">
        <v>2</v>
      </c>
      <c r="S80" s="123" t="s">
        <v>1</v>
      </c>
      <c r="T80" s="123">
        <v>0</v>
      </c>
      <c r="U80" s="122" t="s">
        <v>102</v>
      </c>
      <c r="V80" t="b">
        <f t="shared" si="13"/>
        <v>1</v>
      </c>
      <c r="Z80" t="b">
        <f t="shared" si="14"/>
        <v>1</v>
      </c>
    </row>
    <row r="81" spans="1:26" x14ac:dyDescent="0.3">
      <c r="A81" s="60">
        <v>46204</v>
      </c>
      <c r="B81" s="61">
        <v>0.54166666666666663</v>
      </c>
      <c r="C81" s="62" t="s">
        <v>18</v>
      </c>
      <c r="D81" s="123">
        <v>3</v>
      </c>
      <c r="E81" s="123" t="s">
        <v>1</v>
      </c>
      <c r="F81" s="123">
        <v>0</v>
      </c>
      <c r="G81" s="62" t="s">
        <v>127</v>
      </c>
      <c r="K81" s="8" t="str">
        <f t="shared" si="10"/>
        <v>Inglaterra</v>
      </c>
      <c r="L81" s="9">
        <f t="shared" si="11"/>
        <v>3</v>
      </c>
      <c r="M81" s="9">
        <f t="shared" si="12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122" t="s">
        <v>18</v>
      </c>
      <c r="R81" s="123">
        <v>3</v>
      </c>
      <c r="S81" s="123" t="s">
        <v>1</v>
      </c>
      <c r="T81" s="123">
        <v>0</v>
      </c>
      <c r="U81" s="122" t="s">
        <v>127</v>
      </c>
      <c r="V81" t="b">
        <f t="shared" si="13"/>
        <v>1</v>
      </c>
      <c r="Z81" t="b">
        <f t="shared" si="14"/>
        <v>1</v>
      </c>
    </row>
    <row r="82" spans="1:26" x14ac:dyDescent="0.3">
      <c r="A82" s="60">
        <v>46204</v>
      </c>
      <c r="B82" s="61">
        <v>0.70833333333333337</v>
      </c>
      <c r="C82" s="62" t="s">
        <v>16</v>
      </c>
      <c r="D82" s="123">
        <v>2</v>
      </c>
      <c r="E82" s="123" t="s">
        <v>1</v>
      </c>
      <c r="F82" s="123">
        <v>1</v>
      </c>
      <c r="G82" s="62" t="s">
        <v>20</v>
      </c>
      <c r="K82" s="8" t="str">
        <f t="shared" si="10"/>
        <v>Bélgica</v>
      </c>
      <c r="L82" s="9">
        <f t="shared" si="11"/>
        <v>2</v>
      </c>
      <c r="M82" s="9">
        <f t="shared" si="12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122" t="s">
        <v>16</v>
      </c>
      <c r="R82" s="123">
        <v>2</v>
      </c>
      <c r="S82" s="123" t="s">
        <v>1</v>
      </c>
      <c r="T82" s="123">
        <v>1</v>
      </c>
      <c r="U82" s="122" t="s">
        <v>20</v>
      </c>
      <c r="V82" t="b">
        <f t="shared" si="13"/>
        <v>1</v>
      </c>
      <c r="Z82" t="b">
        <f t="shared" si="14"/>
        <v>1</v>
      </c>
    </row>
    <row r="83" spans="1:26" x14ac:dyDescent="0.3">
      <c r="A83" s="60">
        <v>46204</v>
      </c>
      <c r="B83" s="61">
        <v>0.875</v>
      </c>
      <c r="C83" s="62" t="s">
        <v>104</v>
      </c>
      <c r="D83" s="123">
        <v>2</v>
      </c>
      <c r="E83" s="123" t="s">
        <v>1</v>
      </c>
      <c r="F83" s="123">
        <v>0</v>
      </c>
      <c r="G83" s="62" t="s">
        <v>112</v>
      </c>
      <c r="K83" s="8" t="str">
        <f t="shared" si="10"/>
        <v>Estados Unidos</v>
      </c>
      <c r="L83" s="9">
        <f t="shared" si="11"/>
        <v>2</v>
      </c>
      <c r="M83" s="9">
        <f t="shared" si="12"/>
        <v>0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122" t="s">
        <v>104</v>
      </c>
      <c r="R83" s="123">
        <v>2</v>
      </c>
      <c r="S83" s="123" t="s">
        <v>1</v>
      </c>
      <c r="T83" s="123">
        <v>0</v>
      </c>
      <c r="U83" s="122" t="s">
        <v>112</v>
      </c>
      <c r="V83" t="b">
        <f t="shared" si="13"/>
        <v>1</v>
      </c>
      <c r="Z83" t="b">
        <f t="shared" si="14"/>
        <v>1</v>
      </c>
    </row>
    <row r="84" spans="1:26" x14ac:dyDescent="0.3">
      <c r="A84" s="60">
        <v>46205</v>
      </c>
      <c r="B84" s="61">
        <v>0.66666666666666663</v>
      </c>
      <c r="C84" s="62" t="s">
        <v>6</v>
      </c>
      <c r="D84" s="123">
        <v>3</v>
      </c>
      <c r="E84" s="123" t="s">
        <v>1</v>
      </c>
      <c r="F84" s="123">
        <v>1</v>
      </c>
      <c r="G84" s="62" t="s">
        <v>125</v>
      </c>
      <c r="K84" s="8" t="str">
        <f t="shared" si="10"/>
        <v>Espanha</v>
      </c>
      <c r="L84" s="9">
        <f t="shared" si="11"/>
        <v>3</v>
      </c>
      <c r="M84" s="9">
        <f t="shared" si="12"/>
        <v>1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122" t="s">
        <v>6</v>
      </c>
      <c r="R84" s="123">
        <v>3</v>
      </c>
      <c r="S84" s="123" t="s">
        <v>1</v>
      </c>
      <c r="T84" s="123">
        <v>1</v>
      </c>
      <c r="U84" s="122" t="s">
        <v>125</v>
      </c>
      <c r="V84" t="b">
        <f t="shared" si="13"/>
        <v>1</v>
      </c>
      <c r="Z84" t="b">
        <f t="shared" si="14"/>
        <v>1</v>
      </c>
    </row>
    <row r="85" spans="1:26" x14ac:dyDescent="0.3">
      <c r="A85" s="60">
        <v>46205</v>
      </c>
      <c r="B85" s="61">
        <v>0.83333333333333337</v>
      </c>
      <c r="C85" s="62" t="s">
        <v>5</v>
      </c>
      <c r="D85" s="123">
        <v>2</v>
      </c>
      <c r="E85" s="123" t="s">
        <v>1</v>
      </c>
      <c r="F85" s="123">
        <v>1</v>
      </c>
      <c r="G85" s="62" t="s">
        <v>10</v>
      </c>
      <c r="K85" s="8" t="str">
        <f t="shared" si="10"/>
        <v>Portugal</v>
      </c>
      <c r="L85" s="9">
        <f t="shared" si="11"/>
        <v>2</v>
      </c>
      <c r="M85" s="9">
        <f t="shared" si="12"/>
        <v>1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122" t="s">
        <v>5</v>
      </c>
      <c r="R85" s="123">
        <v>2</v>
      </c>
      <c r="S85" s="123" t="s">
        <v>1</v>
      </c>
      <c r="T85" s="123">
        <v>1</v>
      </c>
      <c r="U85" s="122" t="s">
        <v>10</v>
      </c>
      <c r="V85" t="b">
        <f t="shared" si="13"/>
        <v>1</v>
      </c>
      <c r="Z85" t="b">
        <f t="shared" si="14"/>
        <v>1</v>
      </c>
    </row>
    <row r="86" spans="1:26" x14ac:dyDescent="0.3">
      <c r="A86" s="60">
        <v>46206</v>
      </c>
      <c r="B86" s="61">
        <v>0</v>
      </c>
      <c r="C86" s="62" t="s">
        <v>72</v>
      </c>
      <c r="D86" s="123">
        <v>2</v>
      </c>
      <c r="E86" s="123" t="s">
        <v>1</v>
      </c>
      <c r="F86" s="123">
        <v>0</v>
      </c>
      <c r="G86" s="62" t="s">
        <v>124</v>
      </c>
      <c r="K86" s="8" t="str">
        <f t="shared" si="10"/>
        <v>Suíça</v>
      </c>
      <c r="L86" s="9">
        <f t="shared" si="11"/>
        <v>2</v>
      </c>
      <c r="M86" s="9">
        <f t="shared" si="12"/>
        <v>0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122" t="s">
        <v>72</v>
      </c>
      <c r="R86" s="123">
        <v>2</v>
      </c>
      <c r="S86" s="123" t="s">
        <v>1</v>
      </c>
      <c r="T86" s="123">
        <v>0</v>
      </c>
      <c r="U86" s="122" t="s">
        <v>124</v>
      </c>
      <c r="V86" t="b">
        <f t="shared" si="13"/>
        <v>1</v>
      </c>
      <c r="Z86" t="b">
        <f t="shared" si="14"/>
        <v>1</v>
      </c>
    </row>
    <row r="87" spans="1:26" x14ac:dyDescent="0.3">
      <c r="A87" s="60">
        <v>46206</v>
      </c>
      <c r="B87" s="61">
        <v>0.625</v>
      </c>
      <c r="C87" s="62" t="s">
        <v>8</v>
      </c>
      <c r="D87" s="123">
        <v>1</v>
      </c>
      <c r="E87" s="123" t="s">
        <v>1</v>
      </c>
      <c r="F87" s="123">
        <v>2</v>
      </c>
      <c r="G87" s="62" t="s">
        <v>119</v>
      </c>
      <c r="K87" s="8" t="str">
        <f t="shared" si="10"/>
        <v>Egito</v>
      </c>
      <c r="L87" s="9">
        <f t="shared" si="11"/>
        <v>2</v>
      </c>
      <c r="M87" s="9">
        <f t="shared" si="12"/>
        <v>1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122" t="s">
        <v>8</v>
      </c>
      <c r="R87" s="123">
        <v>1</v>
      </c>
      <c r="S87" s="123" t="s">
        <v>1</v>
      </c>
      <c r="T87" s="123">
        <v>2</v>
      </c>
      <c r="U87" s="122" t="s">
        <v>119</v>
      </c>
      <c r="V87" t="b">
        <f t="shared" si="13"/>
        <v>1</v>
      </c>
      <c r="Z87" t="b">
        <f t="shared" si="14"/>
        <v>1</v>
      </c>
    </row>
    <row r="88" spans="1:26" x14ac:dyDescent="0.3">
      <c r="A88" s="60">
        <v>46206</v>
      </c>
      <c r="B88" s="61">
        <v>0.79166666666666663</v>
      </c>
      <c r="C88" s="62" t="s">
        <v>9</v>
      </c>
      <c r="D88" s="123">
        <v>4</v>
      </c>
      <c r="E88" s="123" t="s">
        <v>1</v>
      </c>
      <c r="F88" s="123">
        <v>0</v>
      </c>
      <c r="G88" s="62" t="s">
        <v>121</v>
      </c>
      <c r="K88" s="8" t="str">
        <f t="shared" si="10"/>
        <v>Argentina</v>
      </c>
      <c r="L88" s="9">
        <f t="shared" si="11"/>
        <v>4</v>
      </c>
      <c r="M88" s="9">
        <f t="shared" si="12"/>
        <v>0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122" t="s">
        <v>9</v>
      </c>
      <c r="R88" s="123">
        <v>4</v>
      </c>
      <c r="S88" s="123" t="s">
        <v>1</v>
      </c>
      <c r="T88" s="123">
        <v>0</v>
      </c>
      <c r="U88" s="122" t="s">
        <v>121</v>
      </c>
      <c r="V88" t="b">
        <f t="shared" si="13"/>
        <v>1</v>
      </c>
      <c r="Z88" t="b">
        <f t="shared" si="14"/>
        <v>1</v>
      </c>
    </row>
    <row r="89" spans="1:26" x14ac:dyDescent="0.3">
      <c r="A89" s="60">
        <v>46206</v>
      </c>
      <c r="B89" s="61">
        <v>0.9375</v>
      </c>
      <c r="C89" s="62" t="s">
        <v>129</v>
      </c>
      <c r="D89" s="123">
        <v>2</v>
      </c>
      <c r="E89" s="123" t="s">
        <v>1</v>
      </c>
      <c r="F89" s="123">
        <v>0</v>
      </c>
      <c r="G89" s="62" t="s">
        <v>106</v>
      </c>
      <c r="K89" s="8" t="str">
        <f t="shared" si="10"/>
        <v>Colômbia</v>
      </c>
      <c r="L89" s="9">
        <f t="shared" si="11"/>
        <v>2</v>
      </c>
      <c r="M89" s="9">
        <f t="shared" si="12"/>
        <v>0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122" t="s">
        <v>129</v>
      </c>
      <c r="R89" s="123">
        <v>2</v>
      </c>
      <c r="S89" s="123" t="s">
        <v>1</v>
      </c>
      <c r="T89" s="123">
        <v>0</v>
      </c>
      <c r="U89" s="122" t="s">
        <v>106</v>
      </c>
      <c r="V89" t="b">
        <f t="shared" si="13"/>
        <v>1</v>
      </c>
      <c r="Z89" t="b">
        <f t="shared" si="14"/>
        <v>1</v>
      </c>
    </row>
    <row r="90" spans="1:26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10"/>
        <v/>
      </c>
      <c r="L90" s="9" t="str">
        <f t="shared" si="11"/>
        <v/>
      </c>
      <c r="M90" s="9" t="str">
        <f t="shared" si="12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6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10"/>
        <v/>
      </c>
      <c r="L91" s="9" t="str">
        <f t="shared" si="11"/>
        <v/>
      </c>
      <c r="M91" s="9" t="str">
        <f t="shared" si="12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6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10"/>
        <v/>
      </c>
      <c r="L92" s="9" t="str">
        <f t="shared" si="11"/>
        <v/>
      </c>
      <c r="M92" s="9" t="str">
        <f t="shared" si="12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6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10"/>
        <v/>
      </c>
      <c r="L93" s="9" t="str">
        <f t="shared" si="11"/>
        <v/>
      </c>
      <c r="M93" s="9" t="str">
        <f t="shared" si="12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6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10"/>
        <v/>
      </c>
      <c r="L94" s="9" t="str">
        <f t="shared" si="11"/>
        <v/>
      </c>
      <c r="M94" s="9" t="str">
        <f t="shared" si="12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6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10"/>
        <v/>
      </c>
      <c r="L95" s="9" t="str">
        <f t="shared" si="11"/>
        <v/>
      </c>
      <c r="M95" s="9" t="str">
        <f t="shared" si="12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6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10"/>
        <v/>
      </c>
      <c r="L96" s="9" t="str">
        <f t="shared" si="11"/>
        <v/>
      </c>
      <c r="M96" s="9" t="str">
        <f t="shared" si="12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10"/>
        <v/>
      </c>
      <c r="L97" s="9" t="str">
        <f t="shared" si="11"/>
        <v/>
      </c>
      <c r="M97" s="9" t="str">
        <f t="shared" si="12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10"/>
        <v/>
      </c>
      <c r="L98" s="9" t="str">
        <f t="shared" si="11"/>
        <v/>
      </c>
      <c r="M98" s="9" t="str">
        <f t="shared" si="12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10"/>
        <v/>
      </c>
      <c r="L99" s="9" t="str">
        <f t="shared" si="11"/>
        <v/>
      </c>
      <c r="M99" s="9" t="str">
        <f t="shared" si="12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10"/>
        <v/>
      </c>
      <c r="L100" s="9" t="str">
        <f t="shared" si="11"/>
        <v/>
      </c>
      <c r="M100" s="9" t="str">
        <f t="shared" si="12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10"/>
        <v/>
      </c>
      <c r="L101" s="9" t="str">
        <f t="shared" si="11"/>
        <v/>
      </c>
      <c r="M101" s="9" t="str">
        <f t="shared" si="12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10"/>
        <v/>
      </c>
      <c r="L102" s="9" t="str">
        <f t="shared" si="11"/>
        <v/>
      </c>
      <c r="M102" s="9" t="str">
        <f t="shared" si="12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10"/>
        <v/>
      </c>
      <c r="L103" s="9" t="str">
        <f t="shared" si="11"/>
        <v/>
      </c>
      <c r="M103" s="9" t="str">
        <f t="shared" si="12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10"/>
        <v/>
      </c>
      <c r="L104" s="9" t="str">
        <f t="shared" si="11"/>
        <v/>
      </c>
      <c r="M104" s="9" t="str">
        <f t="shared" si="12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10"/>
        <v/>
      </c>
      <c r="L105" s="9" t="str">
        <f t="shared" si="11"/>
        <v/>
      </c>
      <c r="M105" s="9" t="str">
        <f t="shared" si="12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6104-CF35-49FA-817F-5044F9774F6B}">
  <dimension ref="A1:Z105"/>
  <sheetViews>
    <sheetView showGridLines="0" topLeftCell="A74" workbookViewId="0">
      <selection activeCell="Q74" sqref="Q74"/>
    </sheetView>
  </sheetViews>
  <sheetFormatPr defaultRowHeight="14.4" x14ac:dyDescent="0.3"/>
  <cols>
    <col min="1" max="1" width="11.33203125" bestFit="1" customWidth="1"/>
    <col min="2" max="2" width="6.109375" bestFit="1" customWidth="1"/>
    <col min="3" max="3" width="23" style="50" bestFit="1" customWidth="1"/>
    <col min="4" max="4" width="7.6640625" style="47" customWidth="1"/>
    <col min="5" max="5" width="2" style="18" bestFit="1" customWidth="1"/>
    <col min="6" max="6" width="7.6640625" style="47" customWidth="1"/>
    <col min="7" max="7" width="23" style="50" bestFit="1" customWidth="1"/>
    <col min="8" max="10" width="10.6640625" customWidth="1"/>
    <col min="11" max="11" width="28.88671875" bestFit="1" customWidth="1"/>
    <col min="12" max="12" width="15" bestFit="1" customWidth="1"/>
    <col min="13" max="13" width="14.6640625" bestFit="1" customWidth="1"/>
    <col min="15" max="15" width="14.33203125" bestFit="1" customWidth="1"/>
  </cols>
  <sheetData>
    <row r="1" spans="1:15" ht="21" x14ac:dyDescent="0.4">
      <c r="A1" s="140" t="s">
        <v>90</v>
      </c>
      <c r="B1" s="140"/>
      <c r="C1" s="140"/>
      <c r="D1" s="140"/>
      <c r="E1" s="140"/>
      <c r="F1" s="140"/>
      <c r="G1" s="140"/>
      <c r="H1" s="141" t="s">
        <v>101</v>
      </c>
      <c r="I1" s="135"/>
      <c r="J1" s="142"/>
      <c r="K1" s="3" t="s">
        <v>32</v>
      </c>
      <c r="L1" s="3" t="s">
        <v>30</v>
      </c>
      <c r="M1" s="3" t="s">
        <v>31</v>
      </c>
      <c r="O1" s="4" t="s">
        <v>33</v>
      </c>
    </row>
    <row r="2" spans="1:15" ht="15.75" customHeight="1" x14ac:dyDescent="0.3">
      <c r="A2" s="53">
        <v>46184</v>
      </c>
      <c r="B2" s="54">
        <v>0.66666666666666663</v>
      </c>
      <c r="C2" s="55" t="s">
        <v>13</v>
      </c>
      <c r="D2" s="46">
        <v>2</v>
      </c>
      <c r="E2" s="46" t="s">
        <v>1</v>
      </c>
      <c r="F2" s="46">
        <v>0</v>
      </c>
      <c r="G2" s="55" t="s">
        <v>88</v>
      </c>
      <c r="H2" s="141"/>
      <c r="I2" s="135"/>
      <c r="J2" s="142"/>
      <c r="K2" s="8" t="str">
        <f t="shared" ref="K2:K45" si="0">IF(D2="","",IF(D2&gt;F2,C2,IF(F2&gt;D2,G2,"EMPATE")))</f>
        <v>México</v>
      </c>
      <c r="L2" s="9">
        <f t="shared" ref="L2:L45" si="1">IF(D2="","",IF(D2&gt;F2,D2,IF(F2&gt;D2,F2,D2)))</f>
        <v>2</v>
      </c>
      <c r="M2" s="9">
        <f t="shared" ref="M2:M45" si="2">IF(D2="","",IF(D2&lt;F2,D2,IF(F2&lt;D2,F2,D2)))</f>
        <v>0</v>
      </c>
      <c r="O2" s="9">
        <f>IF(OFICIAL!D2="","",IF(AND(K2=OFICIAL!R2,L2=OFICIAL!S2,M2=OFICIAL!T2),9,IF(AND(K2=OFICIAL!R2,L2=OFICIAL!S2,M2&lt;&gt;OFICIAL!T2),6,IF(AND(K2=OFICIAL!R2,OFICIAL!S2=OFICIAL!T2,M2&lt;&gt;OFICIAL!T2),6,IF(AND(K2=OFICIAL!R2,L2&lt;&gt;OFICIAL!S2,OFICIAL!T2=M2),4,IF(AND(K2=OFICIAL!R2,OFICIAL!S2&lt;&gt;L2,OFICIAL!T2&lt;&gt;M2),3,0))))))</f>
        <v>9</v>
      </c>
    </row>
    <row r="3" spans="1:15" ht="15.75" customHeight="1" x14ac:dyDescent="0.3">
      <c r="A3" s="53">
        <v>46184</v>
      </c>
      <c r="B3" s="54">
        <v>0.95833333333333337</v>
      </c>
      <c r="C3" s="55" t="s">
        <v>15</v>
      </c>
      <c r="D3" s="46">
        <v>1</v>
      </c>
      <c r="E3" s="46" t="s">
        <v>1</v>
      </c>
      <c r="F3" s="46">
        <v>1</v>
      </c>
      <c r="G3" s="55" t="s">
        <v>111</v>
      </c>
      <c r="H3" s="141"/>
      <c r="I3" s="135"/>
      <c r="J3" s="142"/>
      <c r="K3" s="8" t="str">
        <f t="shared" si="0"/>
        <v>EMPATE</v>
      </c>
      <c r="L3" s="9">
        <f t="shared" si="1"/>
        <v>1</v>
      </c>
      <c r="M3" s="9">
        <f t="shared" si="2"/>
        <v>1</v>
      </c>
      <c r="O3" s="9">
        <f>IF(OFICIAL!D3="","",IF(AND(K3=OFICIAL!R3,L3=OFICIAL!S3,M3=OFICIAL!T3),9,IF(AND(K3=OFICIAL!R3,L3=OFICIAL!S3,M3&lt;&gt;OFICIAL!T3),6,IF(AND(K3=OFICIAL!R3,OFICIAL!S3=OFICIAL!T3,M3&lt;&gt;OFICIAL!T3),6,IF(AND(K3=OFICIAL!R3,L3&lt;&gt;OFICIAL!S3,OFICIAL!T3=M3),4,IF(AND(K3=OFICIAL!R3,OFICIAL!S3&lt;&gt;L3,OFICIAL!T3&lt;&gt;M3),3,0))))))</f>
        <v>0</v>
      </c>
    </row>
    <row r="4" spans="1:15" ht="15.75" customHeight="1" x14ac:dyDescent="0.3">
      <c r="A4" s="53">
        <v>46185</v>
      </c>
      <c r="B4" s="54">
        <v>0.66666666666666663</v>
      </c>
      <c r="C4" s="55" t="s">
        <v>105</v>
      </c>
      <c r="D4" s="46">
        <v>2</v>
      </c>
      <c r="E4" s="46" t="s">
        <v>1</v>
      </c>
      <c r="F4" s="46">
        <v>1</v>
      </c>
      <c r="G4" s="55" t="s">
        <v>112</v>
      </c>
      <c r="K4" s="8" t="str">
        <f t="shared" si="0"/>
        <v>Canadá</v>
      </c>
      <c r="L4" s="9">
        <f t="shared" si="1"/>
        <v>2</v>
      </c>
      <c r="M4" s="9">
        <f t="shared" si="2"/>
        <v>1</v>
      </c>
      <c r="O4" s="9">
        <f>IF(OFICIAL!D4="","",IF(AND(K4=OFICIAL!R4,L4=OFICIAL!S4,M4=OFICIAL!T4),9,IF(AND(K4=OFICIAL!R4,L4=OFICIAL!S4,M4&lt;&gt;OFICIAL!T4),6,IF(AND(K4=OFICIAL!R4,OFICIAL!S4=OFICIAL!T4,M4&lt;&gt;OFICIAL!T4),6,IF(AND(K4=OFICIAL!R4,L4&lt;&gt;OFICIAL!S4,OFICIAL!T4=M4),4,IF(AND(K4=OFICIAL!R4,OFICIAL!S4&lt;&gt;L4,OFICIAL!T4&lt;&gt;M4),3,0))))))</f>
        <v>0</v>
      </c>
    </row>
    <row r="5" spans="1:15" ht="15.75" customHeight="1" x14ac:dyDescent="0.3">
      <c r="A5" s="53">
        <v>46185</v>
      </c>
      <c r="B5" s="54">
        <v>0.91666666666666663</v>
      </c>
      <c r="C5" s="55" t="s">
        <v>104</v>
      </c>
      <c r="D5" s="46">
        <v>2</v>
      </c>
      <c r="E5" s="46" t="s">
        <v>1</v>
      </c>
      <c r="F5" s="46">
        <v>1</v>
      </c>
      <c r="G5" s="55" t="s">
        <v>115</v>
      </c>
      <c r="I5" s="18"/>
      <c r="K5" s="8" t="str">
        <f t="shared" si="0"/>
        <v>Estados Unidos</v>
      </c>
      <c r="L5" s="9">
        <f t="shared" si="1"/>
        <v>2</v>
      </c>
      <c r="M5" s="9">
        <f t="shared" si="2"/>
        <v>1</v>
      </c>
      <c r="O5" s="9">
        <f>IF(OFICIAL!D5="","",IF(AND(K5=OFICIAL!R5,L5=OFICIAL!S5,M5=OFICIAL!T5),9,IF(AND(K5=OFICIAL!R5,L5=OFICIAL!S5,M5&lt;&gt;OFICIAL!T5),6,IF(AND(K5=OFICIAL!R5,OFICIAL!S5=OFICIAL!T5,M5&lt;&gt;OFICIAL!T5),6,IF(AND(K5=OFICIAL!R5,L5&lt;&gt;OFICIAL!S5,OFICIAL!T5=M5),4,IF(AND(K5=OFICIAL!R5,OFICIAL!S5&lt;&gt;L5,OFICIAL!T5&lt;&gt;M5),3,0))))))</f>
        <v>4</v>
      </c>
    </row>
    <row r="6" spans="1:15" ht="15.75" customHeight="1" x14ac:dyDescent="0.3">
      <c r="A6" s="53">
        <v>46186</v>
      </c>
      <c r="B6" s="54">
        <v>0.66666666666666663</v>
      </c>
      <c r="C6" s="55" t="s">
        <v>97</v>
      </c>
      <c r="D6" s="46">
        <v>0</v>
      </c>
      <c r="E6" s="46" t="s">
        <v>1</v>
      </c>
      <c r="F6" s="46">
        <v>2</v>
      </c>
      <c r="G6" s="55" t="s">
        <v>72</v>
      </c>
      <c r="H6" s="10" t="s">
        <v>44</v>
      </c>
      <c r="I6" s="10" t="s">
        <v>45</v>
      </c>
      <c r="J6" s="10" t="s">
        <v>46</v>
      </c>
      <c r="K6" s="8" t="str">
        <f t="shared" si="0"/>
        <v>Suíça</v>
      </c>
      <c r="L6" s="9">
        <f t="shared" si="1"/>
        <v>2</v>
      </c>
      <c r="M6" s="9">
        <f t="shared" si="2"/>
        <v>0</v>
      </c>
      <c r="O6" s="9">
        <f>IF(OFICIAL!D6="","",IF(AND(K6=OFICIAL!R6,L6=OFICIAL!S6,M6=OFICIAL!T6),9,IF(AND(K6=OFICIAL!R6,L6=OFICIAL!S6,M6&lt;&gt;OFICIAL!T6),6,IF(AND(K6=OFICIAL!R6,OFICIAL!S6=OFICIAL!T6,M6&lt;&gt;OFICIAL!T6),6,IF(AND(K6=OFICIAL!R6,L6&lt;&gt;OFICIAL!S6,OFICIAL!T6=M6),4,IF(AND(K6=OFICIAL!R6,OFICIAL!S6&lt;&gt;L6,OFICIAL!T6&lt;&gt;M6),3,0))))))</f>
        <v>0</v>
      </c>
    </row>
    <row r="7" spans="1:15" ht="15.75" customHeight="1" x14ac:dyDescent="0.3">
      <c r="A7" s="53">
        <v>46186</v>
      </c>
      <c r="B7" s="54">
        <v>0.79166666666666663</v>
      </c>
      <c r="C7" s="55" t="s">
        <v>11</v>
      </c>
      <c r="D7" s="46">
        <v>2</v>
      </c>
      <c r="E7" s="46" t="s">
        <v>1</v>
      </c>
      <c r="F7" s="46">
        <v>1</v>
      </c>
      <c r="G7" s="55" t="s">
        <v>4</v>
      </c>
      <c r="H7" s="15">
        <v>9</v>
      </c>
      <c r="I7" s="15">
        <f>COUNTIF($O$2:$O$105,9)</f>
        <v>9</v>
      </c>
      <c r="J7" s="15">
        <f>H7*I7</f>
        <v>81</v>
      </c>
      <c r="K7" s="8" t="str">
        <f t="shared" si="0"/>
        <v>Brasil</v>
      </c>
      <c r="L7" s="9">
        <f t="shared" si="1"/>
        <v>2</v>
      </c>
      <c r="M7" s="9">
        <f t="shared" si="2"/>
        <v>1</v>
      </c>
      <c r="O7" s="9">
        <f>IF(OFICIAL!D7="","",IF(AND(K7=OFICIAL!R7,L7=OFICIAL!S7,M7=OFICIAL!T7),9,IF(AND(K7=OFICIAL!R7,L7=OFICIAL!S7,M7&lt;&gt;OFICIAL!T7),6,IF(AND(K7=OFICIAL!R7,OFICIAL!S7=OFICIAL!T7,M7&lt;&gt;OFICIAL!T7),6,IF(AND(K7=OFICIAL!R7,L7&lt;&gt;OFICIAL!S7,OFICIAL!T7=M7),4,IF(AND(K7=OFICIAL!R7,OFICIAL!S7&lt;&gt;L7,OFICIAL!T7&lt;&gt;M7),3,0))))))</f>
        <v>0</v>
      </c>
    </row>
    <row r="8" spans="1:15" ht="15.75" customHeight="1" x14ac:dyDescent="0.3">
      <c r="A8" s="53">
        <v>46186</v>
      </c>
      <c r="B8" s="54">
        <v>0.91666666666666663</v>
      </c>
      <c r="C8" s="55" t="s">
        <v>113</v>
      </c>
      <c r="D8" s="46">
        <v>0</v>
      </c>
      <c r="E8" s="46" t="s">
        <v>1</v>
      </c>
      <c r="F8" s="46">
        <v>2</v>
      </c>
      <c r="G8" s="55" t="s">
        <v>114</v>
      </c>
      <c r="H8" s="15">
        <v>6</v>
      </c>
      <c r="I8" s="15">
        <f>COUNTIF($O$2:$O$105,6)</f>
        <v>6</v>
      </c>
      <c r="J8" s="15">
        <f t="shared" ref="J8:J11" si="3">H8*I8</f>
        <v>36</v>
      </c>
      <c r="K8" s="8" t="str">
        <f t="shared" si="0"/>
        <v>Escócia</v>
      </c>
      <c r="L8" s="9">
        <f t="shared" si="1"/>
        <v>2</v>
      </c>
      <c r="M8" s="9">
        <f t="shared" si="2"/>
        <v>0</v>
      </c>
      <c r="O8" s="9">
        <f>IF(OFICIAL!D8="","",IF(AND(K8=OFICIAL!R8,L8=OFICIAL!S8,M8=OFICIAL!T8),9,IF(AND(K8=OFICIAL!R8,L8=OFICIAL!S8,M8&lt;&gt;OFICIAL!T8),6,IF(AND(K8=OFICIAL!R8,OFICIAL!S8=OFICIAL!T8,M8&lt;&gt;OFICIAL!T8),6,IF(AND(K8=OFICIAL!R8,L8&lt;&gt;OFICIAL!S8,OFICIAL!T8=M8),4,IF(AND(K8=OFICIAL!R8,OFICIAL!S8&lt;&gt;L8,OFICIAL!T8&lt;&gt;M8),3,0))))))</f>
        <v>4</v>
      </c>
    </row>
    <row r="9" spans="1:15" ht="15.75" customHeight="1" x14ac:dyDescent="0.3">
      <c r="A9" s="53">
        <v>46187</v>
      </c>
      <c r="B9" s="54">
        <v>4.1666666666666664E-2</v>
      </c>
      <c r="C9" s="55" t="s">
        <v>8</v>
      </c>
      <c r="D9" s="46">
        <v>0</v>
      </c>
      <c r="E9" s="46" t="s">
        <v>1</v>
      </c>
      <c r="F9" s="46">
        <v>2</v>
      </c>
      <c r="G9" s="55" t="s">
        <v>116</v>
      </c>
      <c r="H9" s="15">
        <v>4</v>
      </c>
      <c r="I9" s="15">
        <f>COUNTIF($O$2:$O$105,4)</f>
        <v>11</v>
      </c>
      <c r="J9" s="15">
        <f t="shared" si="3"/>
        <v>44</v>
      </c>
      <c r="K9" s="8" t="str">
        <f t="shared" si="0"/>
        <v>Turquia</v>
      </c>
      <c r="L9" s="9">
        <f t="shared" si="1"/>
        <v>2</v>
      </c>
      <c r="M9" s="9">
        <f t="shared" si="2"/>
        <v>0</v>
      </c>
      <c r="O9" s="9">
        <f>IF(OFICIAL!D9="","",IF(AND(K9=OFICIAL!R9,L9=OFICIAL!S9,M9=OFICIAL!T9),9,IF(AND(K9=OFICIAL!R9,L9=OFICIAL!S9,M9&lt;&gt;OFICIAL!T9),6,IF(AND(K9=OFICIAL!R9,OFICIAL!S9=OFICIAL!T9,M9&lt;&gt;OFICIAL!T9),6,IF(AND(K9=OFICIAL!R9,L9&lt;&gt;OFICIAL!S9,OFICIAL!T9=M9),4,IF(AND(K9=OFICIAL!R9,OFICIAL!S9&lt;&gt;L9,OFICIAL!T9&lt;&gt;M9),3,0))))))</f>
        <v>0</v>
      </c>
    </row>
    <row r="10" spans="1:15" x14ac:dyDescent="0.3">
      <c r="A10" s="53">
        <v>46187</v>
      </c>
      <c r="B10" s="54">
        <v>0.58333333333333337</v>
      </c>
      <c r="C10" s="55" t="s">
        <v>12</v>
      </c>
      <c r="D10" s="46">
        <v>4</v>
      </c>
      <c r="E10" s="46" t="s">
        <v>1</v>
      </c>
      <c r="F10" s="46">
        <v>0</v>
      </c>
      <c r="G10" s="55" t="s">
        <v>117</v>
      </c>
      <c r="H10" s="15">
        <v>3</v>
      </c>
      <c r="I10" s="15">
        <f>COUNTIF($O$2:$O$105,3)</f>
        <v>18</v>
      </c>
      <c r="J10" s="15">
        <f t="shared" si="3"/>
        <v>54</v>
      </c>
      <c r="K10" s="8" t="str">
        <f t="shared" si="0"/>
        <v>Alemanha</v>
      </c>
      <c r="L10" s="9">
        <f t="shared" si="1"/>
        <v>4</v>
      </c>
      <c r="M10" s="9">
        <f t="shared" si="2"/>
        <v>0</v>
      </c>
      <c r="O10" s="9">
        <f>IF(OFICIAL!D10="","",IF(AND(K10=OFICIAL!R10,L10=OFICIAL!S10,M10=OFICIAL!T10),9,IF(AND(K10=OFICIAL!R10,L10=OFICIAL!S10,M10&lt;&gt;OFICIAL!T10),6,IF(AND(K10=OFICIAL!R10,OFICIAL!S10=OFICIAL!T10,M10&lt;&gt;OFICIAL!T10),6,IF(AND(K10=OFICIAL!R10,L10&lt;&gt;OFICIAL!S10,OFICIAL!T10=M10),4,IF(AND(K10=OFICIAL!R10,OFICIAL!S10&lt;&gt;L10,OFICIAL!T10&lt;&gt;M10),3,0))))))</f>
        <v>3</v>
      </c>
    </row>
    <row r="11" spans="1:15" x14ac:dyDescent="0.3">
      <c r="A11" s="53">
        <v>46187</v>
      </c>
      <c r="B11" s="54">
        <v>0.70833333333333337</v>
      </c>
      <c r="C11" s="55" t="s">
        <v>78</v>
      </c>
      <c r="D11" s="46">
        <v>1</v>
      </c>
      <c r="E11" s="46" t="s">
        <v>1</v>
      </c>
      <c r="F11" s="46">
        <v>1</v>
      </c>
      <c r="G11" s="55" t="s">
        <v>19</v>
      </c>
      <c r="H11" s="15">
        <v>0</v>
      </c>
      <c r="I11" s="15">
        <f>COUNTIF($O$2:$O$105,0)</f>
        <v>28</v>
      </c>
      <c r="J11" s="15">
        <f t="shared" si="3"/>
        <v>0</v>
      </c>
      <c r="K11" s="8" t="str">
        <f t="shared" si="0"/>
        <v>EMPATE</v>
      </c>
      <c r="L11" s="9">
        <f t="shared" si="1"/>
        <v>1</v>
      </c>
      <c r="M11" s="9">
        <f t="shared" si="2"/>
        <v>1</v>
      </c>
      <c r="O11" s="9">
        <f>IF(OFICIAL!D11="","",IF(AND(K11=OFICIAL!R11,L11=OFICIAL!S11,M11=OFICIAL!T11),9,IF(AND(K11=OFICIAL!R11,L11=OFICIAL!S11,M11&lt;&gt;OFICIAL!T11),6,IF(AND(K11=OFICIAL!R11,OFICIAL!S11=OFICIAL!T11,M11&lt;&gt;OFICIAL!T11),6,IF(AND(K11=OFICIAL!R11,L11&lt;&gt;OFICIAL!S11,OFICIAL!T11=M11),4,IF(AND(K11=OFICIAL!R11,OFICIAL!S11&lt;&gt;L11,OFICIAL!T11&lt;&gt;M11),3,0))))))</f>
        <v>6</v>
      </c>
    </row>
    <row r="12" spans="1:15" ht="18" x14ac:dyDescent="0.35">
      <c r="A12" s="53">
        <v>46187</v>
      </c>
      <c r="B12" s="54">
        <v>0.83333333333333337</v>
      </c>
      <c r="C12" s="55" t="s">
        <v>118</v>
      </c>
      <c r="D12" s="46">
        <v>1</v>
      </c>
      <c r="E12" s="46" t="s">
        <v>1</v>
      </c>
      <c r="F12" s="46">
        <v>1</v>
      </c>
      <c r="G12" s="55" t="s">
        <v>102</v>
      </c>
      <c r="H12" s="15"/>
      <c r="I12" s="16" t="s">
        <v>46</v>
      </c>
      <c r="J12" s="17">
        <f>SUM(J7:J11)</f>
        <v>215</v>
      </c>
      <c r="K12" s="8" t="str">
        <f t="shared" si="0"/>
        <v>EMPATE</v>
      </c>
      <c r="L12" s="9">
        <f t="shared" si="1"/>
        <v>1</v>
      </c>
      <c r="M12" s="9">
        <f t="shared" si="2"/>
        <v>1</v>
      </c>
      <c r="O12" s="9">
        <f>IF(OFICIAL!D12="","",IF(AND(K12=OFICIAL!R12,L12=OFICIAL!S12,M12=OFICIAL!T12),9,IF(AND(K12=OFICIAL!R12,L12=OFICIAL!S12,M12&lt;&gt;OFICIAL!T12),6,IF(AND(K12=OFICIAL!R12,OFICIAL!S12=OFICIAL!T12,M12&lt;&gt;OFICIAL!T12),6,IF(AND(K12=OFICIAL!R12,L12&lt;&gt;OFICIAL!S12,OFICIAL!T12=M12),4,IF(AND(K12=OFICIAL!R12,OFICIAL!S12&lt;&gt;L12,OFICIAL!T12&lt;&gt;M12),3,0))))))</f>
        <v>0</v>
      </c>
    </row>
    <row r="13" spans="1:15" x14ac:dyDescent="0.3">
      <c r="A13" s="53">
        <v>46187</v>
      </c>
      <c r="B13" s="54">
        <v>0.95833333333333337</v>
      </c>
      <c r="C13" s="55" t="s">
        <v>14</v>
      </c>
      <c r="D13" s="46">
        <v>1</v>
      </c>
      <c r="E13" s="46" t="s">
        <v>1</v>
      </c>
      <c r="F13" s="46">
        <v>0</v>
      </c>
      <c r="G13" s="55" t="s">
        <v>17</v>
      </c>
      <c r="K13" s="8" t="str">
        <f t="shared" si="0"/>
        <v>Suécia</v>
      </c>
      <c r="L13" s="9">
        <f t="shared" si="1"/>
        <v>1</v>
      </c>
      <c r="M13" s="9">
        <f t="shared" si="2"/>
        <v>0</v>
      </c>
      <c r="O13" s="9">
        <f>IF(OFICIAL!D13="","",IF(AND(K13=OFICIAL!R13,L13=OFICIAL!S13,M13=OFICIAL!T13),9,IF(AND(K13=OFICIAL!R13,L13=OFICIAL!S13,M13&lt;&gt;OFICIAL!T13),6,IF(AND(K13=OFICIAL!R13,OFICIAL!S13=OFICIAL!T13,M13&lt;&gt;OFICIAL!T13),6,IF(AND(K13=OFICIAL!R13,L13&lt;&gt;OFICIAL!S13,OFICIAL!T13=M13),4,IF(AND(K13=OFICIAL!R13,OFICIAL!S13&lt;&gt;L13,OFICIAL!T13&lt;&gt;M13),3,0))))))</f>
        <v>3</v>
      </c>
    </row>
    <row r="14" spans="1:15" x14ac:dyDescent="0.3">
      <c r="A14" s="53">
        <v>46188</v>
      </c>
      <c r="B14" s="54">
        <v>0.54166666666666663</v>
      </c>
      <c r="C14" s="55" t="s">
        <v>6</v>
      </c>
      <c r="D14" s="46">
        <v>3</v>
      </c>
      <c r="E14" s="46" t="s">
        <v>1</v>
      </c>
      <c r="F14" s="46">
        <v>0</v>
      </c>
      <c r="G14" s="55" t="s">
        <v>121</v>
      </c>
      <c r="K14" s="8" t="str">
        <f t="shared" si="0"/>
        <v>Espanha</v>
      </c>
      <c r="L14" s="9">
        <f t="shared" si="1"/>
        <v>3</v>
      </c>
      <c r="M14" s="9">
        <f t="shared" si="2"/>
        <v>0</v>
      </c>
      <c r="O14" s="9">
        <f>IF(OFICIAL!D14="","",IF(AND(K14=OFICIAL!R14,L14=OFICIAL!S14,M14=OFICIAL!T14),9,IF(AND(K14=OFICIAL!R14,L14=OFICIAL!S14,M14&lt;&gt;OFICIAL!T14),6,IF(AND(K14=OFICIAL!R14,OFICIAL!S14=OFICIAL!T14,M14&lt;&gt;OFICIAL!T14),6,IF(AND(K14=OFICIAL!R14,L14&lt;&gt;OFICIAL!S14,OFICIAL!T14=M14),4,IF(AND(K14=OFICIAL!R14,OFICIAL!S14&lt;&gt;L14,OFICIAL!T14&lt;&gt;M14),3,0))))))</f>
        <v>0</v>
      </c>
    </row>
    <row r="15" spans="1:15" x14ac:dyDescent="0.3">
      <c r="A15" s="53">
        <v>46188</v>
      </c>
      <c r="B15" s="54">
        <v>0.66666666666666663</v>
      </c>
      <c r="C15" s="55" t="s">
        <v>16</v>
      </c>
      <c r="D15" s="46">
        <v>2</v>
      </c>
      <c r="E15" s="46" t="s">
        <v>1</v>
      </c>
      <c r="F15" s="46">
        <v>0</v>
      </c>
      <c r="G15" s="55" t="s">
        <v>119</v>
      </c>
      <c r="K15" s="8" t="str">
        <f t="shared" si="0"/>
        <v>Bélgica</v>
      </c>
      <c r="L15" s="9">
        <f t="shared" si="1"/>
        <v>2</v>
      </c>
      <c r="M15" s="9">
        <f t="shared" si="2"/>
        <v>0</v>
      </c>
      <c r="O15" s="9">
        <f>IF(OFICIAL!D15="","",IF(AND(K15=OFICIAL!R15,L15=OFICIAL!S15,M15=OFICIAL!T15),9,IF(AND(K15=OFICIAL!R15,L15=OFICIAL!S15,M15&lt;&gt;OFICIAL!T15),6,IF(AND(K15=OFICIAL!R15,OFICIAL!S15=OFICIAL!T15,M15&lt;&gt;OFICIAL!T15),6,IF(AND(K15=OFICIAL!R15,L15&lt;&gt;OFICIAL!S15,OFICIAL!T15=M15),4,IF(AND(K15=OFICIAL!R15,OFICIAL!S15&lt;&gt;L15,OFICIAL!T15&lt;&gt;M15),3,0))))))</f>
        <v>0</v>
      </c>
    </row>
    <row r="16" spans="1:15" x14ac:dyDescent="0.3">
      <c r="A16" s="53">
        <v>46188</v>
      </c>
      <c r="B16" s="54">
        <v>0.79166666666666663</v>
      </c>
      <c r="C16" s="55" t="s">
        <v>2</v>
      </c>
      <c r="D16" s="46">
        <v>0</v>
      </c>
      <c r="E16" s="46" t="s">
        <v>1</v>
      </c>
      <c r="F16" s="46">
        <v>2</v>
      </c>
      <c r="G16" s="55" t="s">
        <v>3</v>
      </c>
      <c r="K16" s="8" t="str">
        <f t="shared" si="0"/>
        <v>Uruguai</v>
      </c>
      <c r="L16" s="9">
        <f t="shared" si="1"/>
        <v>2</v>
      </c>
      <c r="M16" s="9">
        <f t="shared" si="2"/>
        <v>0</v>
      </c>
      <c r="O16" s="9">
        <f>IF(OFICIAL!D16="","",IF(AND(K16=OFICIAL!R16,L16=OFICIAL!S16,M16=OFICIAL!T16),9,IF(AND(K16=OFICIAL!R16,L16=OFICIAL!S16,M16&lt;&gt;OFICIAL!T16),6,IF(AND(K16=OFICIAL!R16,OFICIAL!S16=OFICIAL!T16,M16&lt;&gt;OFICIAL!T16),6,IF(AND(K16=OFICIAL!R16,L16&lt;&gt;OFICIAL!S16,OFICIAL!T16=M16),4,IF(AND(K16=OFICIAL!R16,OFICIAL!S16&lt;&gt;L16,OFICIAL!T16&lt;&gt;M16),3,0))))))</f>
        <v>0</v>
      </c>
    </row>
    <row r="17" spans="1:23" x14ac:dyDescent="0.3">
      <c r="A17" s="53">
        <v>46188</v>
      </c>
      <c r="B17" s="54">
        <v>0.91666666666666663</v>
      </c>
      <c r="C17" s="55" t="s">
        <v>103</v>
      </c>
      <c r="D17" s="46">
        <v>1</v>
      </c>
      <c r="E17" s="46" t="s">
        <v>1</v>
      </c>
      <c r="F17" s="46">
        <v>0</v>
      </c>
      <c r="G17" s="55" t="s">
        <v>120</v>
      </c>
      <c r="K17" s="8" t="str">
        <f t="shared" si="0"/>
        <v>Irã</v>
      </c>
      <c r="L17" s="9">
        <f t="shared" si="1"/>
        <v>1</v>
      </c>
      <c r="M17" s="9">
        <f t="shared" si="2"/>
        <v>0</v>
      </c>
      <c r="O17" s="9">
        <f>IF(OFICIAL!D17="","",IF(AND(K17=OFICIAL!R17,L17=OFICIAL!S17,M17=OFICIAL!T17),9,IF(AND(K17=OFICIAL!R17,L17=OFICIAL!S17,M17&lt;&gt;OFICIAL!T17),6,IF(AND(K17=OFICIAL!R17,OFICIAL!S17=OFICIAL!T17,M17&lt;&gt;OFICIAL!T17),6,IF(AND(K17=OFICIAL!R17,L17&lt;&gt;OFICIAL!S17,OFICIAL!T17=M17),4,IF(AND(K17=OFICIAL!R17,OFICIAL!S17&lt;&gt;L17,OFICIAL!T17&lt;&gt;M17),3,0))))))</f>
        <v>0</v>
      </c>
    </row>
    <row r="18" spans="1:23" x14ac:dyDescent="0.3">
      <c r="A18" s="53">
        <v>46189</v>
      </c>
      <c r="B18" s="54">
        <v>0.66666666666666663</v>
      </c>
      <c r="C18" s="55" t="s">
        <v>7</v>
      </c>
      <c r="D18" s="46">
        <v>2</v>
      </c>
      <c r="E18" s="46" t="s">
        <v>1</v>
      </c>
      <c r="F18" s="46">
        <v>1</v>
      </c>
      <c r="G18" s="55" t="s">
        <v>20</v>
      </c>
      <c r="K18" s="8" t="str">
        <f t="shared" si="0"/>
        <v>França</v>
      </c>
      <c r="L18" s="9">
        <f t="shared" si="1"/>
        <v>2</v>
      </c>
      <c r="M18" s="9">
        <f t="shared" si="2"/>
        <v>1</v>
      </c>
      <c r="O18" s="9">
        <f>IF(OFICIAL!D18="","",IF(AND(K18=OFICIAL!R18,L18=OFICIAL!S18,M18=OFICIAL!T18),9,IF(AND(K18=OFICIAL!R18,L18=OFICIAL!S18,M18&lt;&gt;OFICIAL!T18),6,IF(AND(K18=OFICIAL!R18,OFICIAL!S18=OFICIAL!T18,M18&lt;&gt;OFICIAL!T18),6,IF(AND(K18=OFICIAL!R18,L18&lt;&gt;OFICIAL!S18,OFICIAL!T18=M18),4,IF(AND(K18=OFICIAL!R18,OFICIAL!S18&lt;&gt;L18,OFICIAL!T18&lt;&gt;M18),3,0))))))</f>
        <v>4</v>
      </c>
    </row>
    <row r="19" spans="1:23" x14ac:dyDescent="0.3">
      <c r="A19" s="53">
        <v>46189</v>
      </c>
      <c r="B19" s="54">
        <v>0.79166666666666663</v>
      </c>
      <c r="C19" s="55" t="s">
        <v>122</v>
      </c>
      <c r="D19" s="46">
        <v>0</v>
      </c>
      <c r="E19" s="46" t="s">
        <v>1</v>
      </c>
      <c r="F19" s="46">
        <v>2</v>
      </c>
      <c r="G19" s="55" t="s">
        <v>123</v>
      </c>
      <c r="K19" s="8" t="str">
        <f t="shared" si="0"/>
        <v>Noruega</v>
      </c>
      <c r="L19" s="9">
        <f t="shared" si="1"/>
        <v>2</v>
      </c>
      <c r="M19" s="9">
        <f t="shared" si="2"/>
        <v>0</v>
      </c>
      <c r="O19" s="9">
        <f>IF(OFICIAL!D19="","",IF(AND(K19=OFICIAL!R19,L19=OFICIAL!S19,M19=OFICIAL!T19),9,IF(AND(K19=OFICIAL!R19,L19=OFICIAL!S19,M19&lt;&gt;OFICIAL!T19),6,IF(AND(K19=OFICIAL!R19,OFICIAL!S19=OFICIAL!T19,M19&lt;&gt;OFICIAL!T19),6,IF(AND(K19=OFICIAL!R19,L19&lt;&gt;OFICIAL!S19,OFICIAL!T19=M19),4,IF(AND(K19=OFICIAL!R19,OFICIAL!S19&lt;&gt;L19,OFICIAL!T19&lt;&gt;M19),3,0))))))</f>
        <v>3</v>
      </c>
    </row>
    <row r="20" spans="1:23" x14ac:dyDescent="0.3">
      <c r="A20" s="53">
        <v>46189</v>
      </c>
      <c r="B20" s="54">
        <v>0.91666666666666663</v>
      </c>
      <c r="C20" s="55" t="s">
        <v>9</v>
      </c>
      <c r="D20" s="46">
        <v>3</v>
      </c>
      <c r="E20" s="46" t="s">
        <v>1</v>
      </c>
      <c r="F20" s="46">
        <v>0</v>
      </c>
      <c r="G20" s="55" t="s">
        <v>124</v>
      </c>
      <c r="K20" s="8" t="str">
        <f t="shared" si="0"/>
        <v>Argentina</v>
      </c>
      <c r="L20" s="9">
        <f t="shared" si="1"/>
        <v>3</v>
      </c>
      <c r="M20" s="9">
        <f t="shared" si="2"/>
        <v>0</v>
      </c>
      <c r="O20" s="9">
        <f>IF(OFICIAL!D20="","",IF(AND(K20=OFICIAL!R20,L20=OFICIAL!S20,M20=OFICIAL!T20),9,IF(AND(K20=OFICIAL!R20,L20=OFICIAL!S20,M20&lt;&gt;OFICIAL!T20),6,IF(AND(K20=OFICIAL!R20,OFICIAL!S20=OFICIAL!T20,M20&lt;&gt;OFICIAL!T20),6,IF(AND(K20=OFICIAL!R20,L20&lt;&gt;OFICIAL!S20,OFICIAL!T20=M20),4,IF(AND(K20=OFICIAL!R20,OFICIAL!S20&lt;&gt;L20,OFICIAL!T20&lt;&gt;M20),3,0))))))</f>
        <v>9</v>
      </c>
    </row>
    <row r="21" spans="1:23" x14ac:dyDescent="0.3">
      <c r="A21" s="53">
        <v>46190</v>
      </c>
      <c r="B21" s="54">
        <v>4.1666666666666664E-2</v>
      </c>
      <c r="C21" s="55" t="s">
        <v>125</v>
      </c>
      <c r="D21" s="46">
        <v>2</v>
      </c>
      <c r="E21" s="46" t="s">
        <v>1</v>
      </c>
      <c r="F21" s="46">
        <v>0</v>
      </c>
      <c r="G21" s="55" t="s">
        <v>126</v>
      </c>
      <c r="K21" s="8" t="str">
        <f t="shared" si="0"/>
        <v>Áustria</v>
      </c>
      <c r="L21" s="9">
        <f t="shared" si="1"/>
        <v>2</v>
      </c>
      <c r="M21" s="9">
        <f t="shared" si="2"/>
        <v>0</v>
      </c>
      <c r="O21" s="9">
        <f>IF(OFICIAL!D21="","",IF(AND(K21=OFICIAL!R21,L21=OFICIAL!S21,M21=OFICIAL!T21),9,IF(AND(K21=OFICIAL!R21,L21=OFICIAL!S21,M21&lt;&gt;OFICIAL!T21),6,IF(AND(K21=OFICIAL!R21,OFICIAL!S21=OFICIAL!T21,M21&lt;&gt;OFICIAL!T21),6,IF(AND(K21=OFICIAL!R21,L21&lt;&gt;OFICIAL!S21,OFICIAL!T21=M21),4,IF(AND(K21=OFICIAL!R21,OFICIAL!S21&lt;&gt;L21,OFICIAL!T21&lt;&gt;M21),3,0))))))</f>
        <v>3</v>
      </c>
    </row>
    <row r="22" spans="1:23" x14ac:dyDescent="0.3">
      <c r="A22" s="53">
        <v>46190</v>
      </c>
      <c r="B22" s="54">
        <v>0.58333333333333337</v>
      </c>
      <c r="C22" s="55" t="s">
        <v>5</v>
      </c>
      <c r="D22" s="46">
        <v>3</v>
      </c>
      <c r="E22" s="46" t="s">
        <v>1</v>
      </c>
      <c r="F22" s="46">
        <v>0</v>
      </c>
      <c r="G22" s="55" t="s">
        <v>127</v>
      </c>
      <c r="K22" s="8" t="str">
        <f t="shared" si="0"/>
        <v>Portugal</v>
      </c>
      <c r="L22" s="9">
        <f t="shared" si="1"/>
        <v>3</v>
      </c>
      <c r="M22" s="9">
        <f t="shared" si="2"/>
        <v>0</v>
      </c>
      <c r="O22" s="9">
        <f>IF(OFICIAL!D22="","",IF(AND(K22=OFICIAL!R22,L22=OFICIAL!S22,M22=OFICIAL!T22),9,IF(AND(K22=OFICIAL!R22,L22=OFICIAL!S22,M22&lt;&gt;OFICIAL!T22),6,IF(AND(K22=OFICIAL!R22,OFICIAL!S22=OFICIAL!T22,M22&lt;&gt;OFICIAL!T22),6,IF(AND(K22=OFICIAL!R22,L22&lt;&gt;OFICIAL!S22,OFICIAL!T22=M22),4,IF(AND(K22=OFICIAL!R22,OFICIAL!S22&lt;&gt;L22,OFICIAL!T22&lt;&gt;M22),3,0))))))</f>
        <v>0</v>
      </c>
    </row>
    <row r="23" spans="1:23" x14ac:dyDescent="0.3">
      <c r="A23" s="53">
        <v>46190</v>
      </c>
      <c r="B23" s="54">
        <v>0.70833333333333337</v>
      </c>
      <c r="C23" s="55" t="s">
        <v>18</v>
      </c>
      <c r="D23" s="46">
        <v>1</v>
      </c>
      <c r="E23" s="46" t="s">
        <v>1</v>
      </c>
      <c r="F23" s="46">
        <v>1</v>
      </c>
      <c r="G23" s="55" t="s">
        <v>10</v>
      </c>
      <c r="K23" s="8" t="str">
        <f t="shared" si="0"/>
        <v>EMPATE</v>
      </c>
      <c r="L23" s="9">
        <f t="shared" si="1"/>
        <v>1</v>
      </c>
      <c r="M23" s="9">
        <f t="shared" si="2"/>
        <v>1</v>
      </c>
      <c r="O23" s="9">
        <f>IF(OFICIAL!D23="","",IF(AND(K23=OFICIAL!R23,L23=OFICIAL!S23,M23=OFICIAL!T23),9,IF(AND(K23=OFICIAL!R23,L23=OFICIAL!S23,M23&lt;&gt;OFICIAL!T23),6,IF(AND(K23=OFICIAL!R23,OFICIAL!S23=OFICIAL!T23,M23&lt;&gt;OFICIAL!T23),6,IF(AND(K23=OFICIAL!R23,L23&lt;&gt;OFICIAL!S23,OFICIAL!T23=M23),4,IF(AND(K23=OFICIAL!R23,OFICIAL!S23&lt;&gt;L23,OFICIAL!T23&lt;&gt;M23),3,0))))))</f>
        <v>0</v>
      </c>
    </row>
    <row r="24" spans="1:23" x14ac:dyDescent="0.3">
      <c r="A24" s="53">
        <v>46190</v>
      </c>
      <c r="B24" s="54">
        <v>0.83333333333333337</v>
      </c>
      <c r="C24" s="55" t="s">
        <v>106</v>
      </c>
      <c r="D24" s="46">
        <v>2</v>
      </c>
      <c r="E24" s="46" t="s">
        <v>1</v>
      </c>
      <c r="F24" s="46">
        <v>1</v>
      </c>
      <c r="G24" s="55" t="s">
        <v>130</v>
      </c>
      <c r="K24" s="8" t="str">
        <f t="shared" si="0"/>
        <v>Gana</v>
      </c>
      <c r="L24" s="9">
        <f t="shared" si="1"/>
        <v>2</v>
      </c>
      <c r="M24" s="9">
        <f t="shared" si="2"/>
        <v>1</v>
      </c>
      <c r="O24" s="9">
        <f>IF(OFICIAL!D24="","",IF(AND(K24=OFICIAL!R24,L24=OFICIAL!S24,M24=OFICIAL!T24),9,IF(AND(K24=OFICIAL!R24,L24=OFICIAL!S24,M24&lt;&gt;OFICIAL!T24),6,IF(AND(K24=OFICIAL!R24,OFICIAL!S24=OFICIAL!T24,M24&lt;&gt;OFICIAL!T24),6,IF(AND(K24=OFICIAL!R24,L24&lt;&gt;OFICIAL!S24,OFICIAL!T24=M24),4,IF(AND(K24=OFICIAL!R24,OFICIAL!S24&lt;&gt;L24,OFICIAL!T24&lt;&gt;M24),3,0))))))</f>
        <v>3</v>
      </c>
    </row>
    <row r="25" spans="1:23" x14ac:dyDescent="0.3">
      <c r="A25" s="53">
        <v>46190</v>
      </c>
      <c r="B25" s="54">
        <v>0.95833333333333337</v>
      </c>
      <c r="C25" s="55" t="s">
        <v>128</v>
      </c>
      <c r="D25" s="46">
        <v>0</v>
      </c>
      <c r="E25" s="46" t="s">
        <v>1</v>
      </c>
      <c r="F25" s="46">
        <v>2</v>
      </c>
      <c r="G25" s="55" t="s">
        <v>129</v>
      </c>
      <c r="K25" s="8" t="str">
        <f t="shared" si="0"/>
        <v>Colômbia</v>
      </c>
      <c r="L25" s="9">
        <f t="shared" si="1"/>
        <v>2</v>
      </c>
      <c r="M25" s="9">
        <f t="shared" si="2"/>
        <v>0</v>
      </c>
      <c r="O25" s="9">
        <f>IF(OFICIAL!D25="","",IF(AND(K25=OFICIAL!R25,L25=OFICIAL!S25,M25=OFICIAL!T25),9,IF(AND(K25=OFICIAL!R25,L25=OFICIAL!S25,M25&lt;&gt;OFICIAL!T25),6,IF(AND(K25=OFICIAL!R25,OFICIAL!S25=OFICIAL!T25,M25&lt;&gt;OFICIAL!T25),6,IF(AND(K25=OFICIAL!R25,L25&lt;&gt;OFICIAL!S25,OFICIAL!T25=M25),4,IF(AND(K25=OFICIAL!R25,OFICIAL!S25&lt;&gt;L25,OFICIAL!T25&lt;&gt;M25),3,0))))))</f>
        <v>3</v>
      </c>
    </row>
    <row r="26" spans="1:23" x14ac:dyDescent="0.3">
      <c r="A26" s="100">
        <v>46191</v>
      </c>
      <c r="B26" s="101">
        <v>0.54166666666666663</v>
      </c>
      <c r="C26" s="102" t="s">
        <v>111</v>
      </c>
      <c r="D26" s="103">
        <v>1</v>
      </c>
      <c r="E26" s="103" t="s">
        <v>1</v>
      </c>
      <c r="F26" s="103">
        <v>0</v>
      </c>
      <c r="G26" s="102" t="s">
        <v>88</v>
      </c>
      <c r="K26" s="8" t="str">
        <f t="shared" si="0"/>
        <v>República Tcheca</v>
      </c>
      <c r="L26" s="9">
        <f t="shared" si="1"/>
        <v>1</v>
      </c>
      <c r="M26" s="9">
        <f t="shared" si="2"/>
        <v>0</v>
      </c>
      <c r="O26" s="9">
        <f>IF(OFICIAL!D26="","",IF(AND(K26=OFICIAL!R26,L26=OFICIAL!S26,M26=OFICIAL!T26),9,IF(AND(K26=OFICIAL!R26,L26=OFICIAL!S26,M26&lt;&gt;OFICIAL!T26),6,IF(AND(K26=OFICIAL!R26,OFICIAL!S26=OFICIAL!T26,M26&lt;&gt;OFICIAL!T26),6,IF(AND(K26=OFICIAL!R26,L26&lt;&gt;OFICIAL!S26,OFICIAL!T26=M26),4,IF(AND(K26=OFICIAL!R26,OFICIAL!S26&lt;&gt;L26,OFICIAL!T26&lt;&gt;M26),3,0))))))</f>
        <v>0</v>
      </c>
      <c r="Q26" s="84"/>
      <c r="R26" s="85"/>
      <c r="S26" s="86"/>
      <c r="T26" s="48"/>
      <c r="U26" s="48"/>
      <c r="V26" s="48"/>
      <c r="W26" s="86"/>
    </row>
    <row r="27" spans="1:23" x14ac:dyDescent="0.3">
      <c r="A27" s="100">
        <v>46191</v>
      </c>
      <c r="B27" s="101">
        <v>0.66666666666666663</v>
      </c>
      <c r="C27" s="102" t="s">
        <v>72</v>
      </c>
      <c r="D27" s="103">
        <v>1</v>
      </c>
      <c r="E27" s="103" t="s">
        <v>1</v>
      </c>
      <c r="F27" s="103">
        <v>1</v>
      </c>
      <c r="G27" s="102" t="s">
        <v>112</v>
      </c>
      <c r="K27" s="8" t="str">
        <f t="shared" si="0"/>
        <v>EMPATE</v>
      </c>
      <c r="L27" s="9">
        <f t="shared" si="1"/>
        <v>1</v>
      </c>
      <c r="M27" s="9">
        <f t="shared" si="2"/>
        <v>1</v>
      </c>
      <c r="O27" s="9">
        <f>IF(OFICIAL!D27="","",IF(AND(K27=OFICIAL!R27,L27=OFICIAL!S27,M27=OFICIAL!T27),9,IF(AND(K27=OFICIAL!R27,L27=OFICIAL!S27,M27&lt;&gt;OFICIAL!T27),6,IF(AND(K27=OFICIAL!R27,OFICIAL!S27=OFICIAL!T27,M27&lt;&gt;OFICIAL!T27),6,IF(AND(K27=OFICIAL!R27,L27&lt;&gt;OFICIAL!S27,OFICIAL!T27=M27),4,IF(AND(K27=OFICIAL!R27,OFICIAL!S27&lt;&gt;L27,OFICIAL!T27&lt;&gt;M27),3,0))))))</f>
        <v>0</v>
      </c>
      <c r="Q27" s="84"/>
      <c r="R27" s="85"/>
      <c r="S27" s="86"/>
      <c r="T27" s="48"/>
      <c r="U27" s="48"/>
      <c r="V27" s="48"/>
      <c r="W27" s="86"/>
    </row>
    <row r="28" spans="1:23" x14ac:dyDescent="0.3">
      <c r="A28" s="100">
        <v>46191</v>
      </c>
      <c r="B28" s="101">
        <v>0.79166666666666663</v>
      </c>
      <c r="C28" s="102" t="s">
        <v>105</v>
      </c>
      <c r="D28" s="103">
        <v>2</v>
      </c>
      <c r="E28" s="103" t="s">
        <v>1</v>
      </c>
      <c r="F28" s="103">
        <v>1</v>
      </c>
      <c r="G28" s="102" t="s">
        <v>97</v>
      </c>
      <c r="K28" s="8" t="str">
        <f t="shared" si="0"/>
        <v>Canadá</v>
      </c>
      <c r="L28" s="9">
        <f t="shared" si="1"/>
        <v>2</v>
      </c>
      <c r="M28" s="9">
        <f t="shared" si="2"/>
        <v>1</v>
      </c>
      <c r="O28" s="9">
        <f>IF(OFICIAL!D28="","",IF(AND(K28=OFICIAL!R28,L28=OFICIAL!S28,M28=OFICIAL!T28),9,IF(AND(K28=OFICIAL!R28,L28=OFICIAL!S28,M28&lt;&gt;OFICIAL!T28),6,IF(AND(K28=OFICIAL!R28,OFICIAL!S28=OFICIAL!T28,M28&lt;&gt;OFICIAL!T28),6,IF(AND(K28=OFICIAL!R28,L28&lt;&gt;OFICIAL!S28,OFICIAL!T28=M28),4,IF(AND(K28=OFICIAL!R28,OFICIAL!S28&lt;&gt;L28,OFICIAL!T28&lt;&gt;M28),3,0))))))</f>
        <v>3</v>
      </c>
      <c r="Q28" s="84"/>
      <c r="R28" s="85"/>
      <c r="S28" s="86"/>
      <c r="T28" s="48"/>
      <c r="U28" s="48"/>
      <c r="V28" s="48"/>
      <c r="W28" s="86"/>
    </row>
    <row r="29" spans="1:23" x14ac:dyDescent="0.3">
      <c r="A29" s="100">
        <v>46191</v>
      </c>
      <c r="B29" s="101">
        <v>0.91666666666666663</v>
      </c>
      <c r="C29" s="102" t="s">
        <v>13</v>
      </c>
      <c r="D29" s="103">
        <v>2</v>
      </c>
      <c r="E29" s="103" t="s">
        <v>1</v>
      </c>
      <c r="F29" s="103">
        <v>1</v>
      </c>
      <c r="G29" s="102" t="s">
        <v>15</v>
      </c>
      <c r="K29" s="8" t="str">
        <f t="shared" si="0"/>
        <v>México</v>
      </c>
      <c r="L29" s="9">
        <f t="shared" si="1"/>
        <v>2</v>
      </c>
      <c r="M29" s="9">
        <f t="shared" si="2"/>
        <v>1</v>
      </c>
      <c r="O29" s="9">
        <f>IF(OFICIAL!D29="","",IF(AND(K29=OFICIAL!R29,L29=OFICIAL!S29,M29=OFICIAL!T29),9,IF(AND(K29=OFICIAL!R29,L29=OFICIAL!S29,M29&lt;&gt;OFICIAL!T29),6,IF(AND(K29=OFICIAL!R29,OFICIAL!S29=OFICIAL!T29,M29&lt;&gt;OFICIAL!T29),6,IF(AND(K29=OFICIAL!R29,L29&lt;&gt;OFICIAL!S29,OFICIAL!T29=M29),4,IF(AND(K29=OFICIAL!R29,OFICIAL!S29&lt;&gt;L29,OFICIAL!T29&lt;&gt;M29),3,0))))))</f>
        <v>3</v>
      </c>
      <c r="Q29" s="84"/>
      <c r="R29" s="85"/>
      <c r="S29" s="86"/>
      <c r="T29" s="48"/>
      <c r="U29" s="48"/>
      <c r="V29" s="48"/>
      <c r="W29" s="86"/>
    </row>
    <row r="30" spans="1:23" x14ac:dyDescent="0.3">
      <c r="A30" s="100">
        <v>46192</v>
      </c>
      <c r="B30" s="101">
        <v>0.66666666666666663</v>
      </c>
      <c r="C30" s="102" t="s">
        <v>104</v>
      </c>
      <c r="D30" s="103">
        <v>2</v>
      </c>
      <c r="E30" s="103" t="s">
        <v>1</v>
      </c>
      <c r="F30" s="103">
        <v>0</v>
      </c>
      <c r="G30" s="102" t="s">
        <v>8</v>
      </c>
      <c r="K30" s="8" t="str">
        <f t="shared" si="0"/>
        <v>Estados Unidos</v>
      </c>
      <c r="L30" s="9">
        <f t="shared" si="1"/>
        <v>2</v>
      </c>
      <c r="M30" s="9">
        <f t="shared" si="2"/>
        <v>0</v>
      </c>
      <c r="O30" s="9">
        <f>IF(OFICIAL!D30="","",IF(AND(K30=OFICIAL!R30,L30=OFICIAL!S30,M30=OFICIAL!T30),9,IF(AND(K30=OFICIAL!R30,L30=OFICIAL!S30,M30&lt;&gt;OFICIAL!T30),6,IF(AND(K30=OFICIAL!R30,OFICIAL!S30=OFICIAL!T30,M30&lt;&gt;OFICIAL!T30),6,IF(AND(K30=OFICIAL!R30,L30&lt;&gt;OFICIAL!S30,OFICIAL!T30=M30),4,IF(AND(K30=OFICIAL!R30,OFICIAL!S30&lt;&gt;L30,OFICIAL!T30&lt;&gt;M30),3,0))))))</f>
        <v>9</v>
      </c>
      <c r="Q30" s="84"/>
      <c r="R30" s="85"/>
      <c r="S30" s="86"/>
      <c r="T30" s="48"/>
      <c r="U30" s="48"/>
      <c r="V30" s="48"/>
      <c r="W30" s="86"/>
    </row>
    <row r="31" spans="1:23" x14ac:dyDescent="0.3">
      <c r="A31" s="100">
        <v>46192</v>
      </c>
      <c r="B31" s="101">
        <v>0.79166666666666663</v>
      </c>
      <c r="C31" s="102" t="s">
        <v>114</v>
      </c>
      <c r="D31" s="103">
        <v>0</v>
      </c>
      <c r="E31" s="103" t="s">
        <v>1</v>
      </c>
      <c r="F31" s="103">
        <v>1</v>
      </c>
      <c r="G31" s="102" t="s">
        <v>4</v>
      </c>
      <c r="K31" s="8" t="str">
        <f t="shared" si="0"/>
        <v>Marrocos</v>
      </c>
      <c r="L31" s="9">
        <f t="shared" si="1"/>
        <v>1</v>
      </c>
      <c r="M31" s="9">
        <f t="shared" si="2"/>
        <v>0</v>
      </c>
      <c r="O31" s="9">
        <f>IF(OFICIAL!D31="","",IF(AND(K31=OFICIAL!R31,L31=OFICIAL!S31,M31=OFICIAL!T31),9,IF(AND(K31=OFICIAL!R31,L31=OFICIAL!S31,M31&lt;&gt;OFICIAL!T31),6,IF(AND(K31=OFICIAL!R31,OFICIAL!S31=OFICIAL!T31,M31&lt;&gt;OFICIAL!T31),6,IF(AND(K31=OFICIAL!R31,L31&lt;&gt;OFICIAL!S31,OFICIAL!T31=M31),4,IF(AND(K31=OFICIAL!R31,OFICIAL!S31&lt;&gt;L31,OFICIAL!T31&lt;&gt;M31),3,0))))))</f>
        <v>9</v>
      </c>
      <c r="Q31" s="84"/>
      <c r="R31" s="85"/>
      <c r="S31" s="86"/>
      <c r="T31" s="48"/>
      <c r="U31" s="48"/>
      <c r="V31" s="48"/>
      <c r="W31" s="86"/>
    </row>
    <row r="32" spans="1:23" x14ac:dyDescent="0.3">
      <c r="A32" s="100">
        <v>46192</v>
      </c>
      <c r="B32" s="101">
        <v>0.89583333333333337</v>
      </c>
      <c r="C32" s="102" t="s">
        <v>11</v>
      </c>
      <c r="D32" s="103">
        <v>3</v>
      </c>
      <c r="E32" s="103" t="s">
        <v>1</v>
      </c>
      <c r="F32" s="103">
        <v>0</v>
      </c>
      <c r="G32" s="102" t="s">
        <v>113</v>
      </c>
      <c r="K32" s="8" t="str">
        <f t="shared" si="0"/>
        <v>Brasil</v>
      </c>
      <c r="L32" s="9">
        <f t="shared" si="1"/>
        <v>3</v>
      </c>
      <c r="M32" s="9">
        <f t="shared" si="2"/>
        <v>0</v>
      </c>
      <c r="O32" s="9">
        <f>IF(OFICIAL!D32="","",IF(AND(K32=OFICIAL!R32,L32=OFICIAL!S32,M32=OFICIAL!T32),9,IF(AND(K32=OFICIAL!R32,L32=OFICIAL!S32,M32&lt;&gt;OFICIAL!T32),6,IF(AND(K32=OFICIAL!R32,OFICIAL!S32=OFICIAL!T32,M32&lt;&gt;OFICIAL!T32),6,IF(AND(K32=OFICIAL!R32,L32&lt;&gt;OFICIAL!S32,OFICIAL!T32=M32),4,IF(AND(K32=OFICIAL!R32,OFICIAL!S32&lt;&gt;L32,OFICIAL!T32&lt;&gt;M32),3,0))))))</f>
        <v>9</v>
      </c>
      <c r="Q32" s="84"/>
      <c r="R32" s="85"/>
      <c r="S32" s="86"/>
      <c r="T32" s="48"/>
      <c r="U32" s="48"/>
      <c r="V32" s="48"/>
      <c r="W32" s="86"/>
    </row>
    <row r="33" spans="1:23" x14ac:dyDescent="0.3">
      <c r="A33" s="100">
        <v>46193</v>
      </c>
      <c r="B33" s="101">
        <v>4.1666666666666664E-2</v>
      </c>
      <c r="C33" s="102" t="s">
        <v>116</v>
      </c>
      <c r="D33" s="103">
        <v>1</v>
      </c>
      <c r="E33" s="103" t="s">
        <v>1</v>
      </c>
      <c r="F33" s="103">
        <v>1</v>
      </c>
      <c r="G33" s="102" t="s">
        <v>115</v>
      </c>
      <c r="K33" s="8" t="str">
        <f t="shared" si="0"/>
        <v>EMPATE</v>
      </c>
      <c r="L33" s="9">
        <f t="shared" si="1"/>
        <v>1</v>
      </c>
      <c r="M33" s="9">
        <f t="shared" si="2"/>
        <v>1</v>
      </c>
      <c r="O33" s="9">
        <f>IF(OFICIAL!D33="","",IF(AND(K33=OFICIAL!R33,L33=OFICIAL!S33,M33=OFICIAL!T33),9,IF(AND(K33=OFICIAL!R33,L33=OFICIAL!S33,M33&lt;&gt;OFICIAL!T33),6,IF(AND(K33=OFICIAL!R33,OFICIAL!S33=OFICIAL!T33,M33&lt;&gt;OFICIAL!T33),6,IF(AND(K33=OFICIAL!R33,L33&lt;&gt;OFICIAL!S33,OFICIAL!T33=M33),4,IF(AND(K33=OFICIAL!R33,OFICIAL!S33&lt;&gt;L33,OFICIAL!T33&lt;&gt;M33),3,0))))))</f>
        <v>0</v>
      </c>
      <c r="Q33" s="84"/>
      <c r="R33" s="85"/>
      <c r="S33" s="86"/>
      <c r="T33" s="48"/>
      <c r="U33" s="48"/>
      <c r="V33" s="48"/>
      <c r="W33" s="86"/>
    </row>
    <row r="34" spans="1:23" x14ac:dyDescent="0.3">
      <c r="A34" s="100">
        <v>46193</v>
      </c>
      <c r="B34" s="101">
        <v>0.58333333333333337</v>
      </c>
      <c r="C34" s="102" t="s">
        <v>78</v>
      </c>
      <c r="D34" s="103">
        <v>2</v>
      </c>
      <c r="E34" s="103" t="s">
        <v>1</v>
      </c>
      <c r="F34" s="103">
        <v>2</v>
      </c>
      <c r="G34" s="102" t="s">
        <v>14</v>
      </c>
      <c r="K34" s="8" t="str">
        <f t="shared" si="0"/>
        <v>EMPATE</v>
      </c>
      <c r="L34" s="9">
        <f t="shared" si="1"/>
        <v>2</v>
      </c>
      <c r="M34" s="9">
        <f t="shared" si="2"/>
        <v>2</v>
      </c>
      <c r="O34" s="9">
        <f>IF(OFICIAL!D34="","",IF(AND(K34=OFICIAL!R34,L34=OFICIAL!S34,M34=OFICIAL!T34),9,IF(AND(K34=OFICIAL!R34,L34=OFICIAL!S34,M34&lt;&gt;OFICIAL!T34),6,IF(AND(K34=OFICIAL!R34,OFICIAL!S34=OFICIAL!T34,M34&lt;&gt;OFICIAL!T34),6,IF(AND(K34=OFICIAL!R34,L34&lt;&gt;OFICIAL!S34,OFICIAL!T34=M34),4,IF(AND(K34=OFICIAL!R34,OFICIAL!S34&lt;&gt;L34,OFICIAL!T34&lt;&gt;M34),3,0))))))</f>
        <v>0</v>
      </c>
      <c r="Q34" s="84"/>
      <c r="R34" s="85"/>
      <c r="S34" s="86"/>
      <c r="T34" s="48"/>
      <c r="U34" s="48"/>
      <c r="V34" s="48"/>
      <c r="W34" s="86"/>
    </row>
    <row r="35" spans="1:23" x14ac:dyDescent="0.3">
      <c r="A35" s="100">
        <v>46193</v>
      </c>
      <c r="B35" s="101">
        <v>0.70833333333333337</v>
      </c>
      <c r="C35" s="102" t="s">
        <v>12</v>
      </c>
      <c r="D35" s="103">
        <v>3</v>
      </c>
      <c r="E35" s="103" t="s">
        <v>1</v>
      </c>
      <c r="F35" s="103">
        <v>1</v>
      </c>
      <c r="G35" s="102" t="s">
        <v>118</v>
      </c>
      <c r="K35" s="8" t="str">
        <f t="shared" si="0"/>
        <v>Alemanha</v>
      </c>
      <c r="L35" s="9">
        <f t="shared" si="1"/>
        <v>3</v>
      </c>
      <c r="M35" s="9">
        <f t="shared" si="2"/>
        <v>1</v>
      </c>
      <c r="O35" s="9">
        <f>IF(OFICIAL!D35="","",IF(AND(K35=OFICIAL!R35,L35=OFICIAL!S35,M35=OFICIAL!T35),9,IF(AND(K35=OFICIAL!R35,L35=OFICIAL!S35,M35&lt;&gt;OFICIAL!T35),6,IF(AND(K35=OFICIAL!R35,OFICIAL!S35=OFICIAL!T35,M35&lt;&gt;OFICIAL!T35),6,IF(AND(K35=OFICIAL!R35,L35&lt;&gt;OFICIAL!S35,OFICIAL!T35=M35),4,IF(AND(K35=OFICIAL!R35,OFICIAL!S35&lt;&gt;L35,OFICIAL!T35&lt;&gt;M35),3,0))))))</f>
        <v>4</v>
      </c>
      <c r="Q35" s="84"/>
      <c r="R35" s="85"/>
      <c r="S35" s="86"/>
      <c r="T35" s="48"/>
      <c r="U35" s="48"/>
      <c r="V35" s="48"/>
      <c r="W35" s="86"/>
    </row>
    <row r="36" spans="1:23" x14ac:dyDescent="0.3">
      <c r="A36" s="100">
        <v>46193</v>
      </c>
      <c r="B36" s="101">
        <v>0.875</v>
      </c>
      <c r="C36" s="102" t="s">
        <v>102</v>
      </c>
      <c r="D36" s="103">
        <v>2</v>
      </c>
      <c r="E36" s="103" t="s">
        <v>1</v>
      </c>
      <c r="F36" s="103">
        <v>0</v>
      </c>
      <c r="G36" s="102" t="s">
        <v>117</v>
      </c>
      <c r="K36" s="8" t="str">
        <f t="shared" si="0"/>
        <v>Equador</v>
      </c>
      <c r="L36" s="9">
        <f t="shared" si="1"/>
        <v>2</v>
      </c>
      <c r="M36" s="9">
        <f t="shared" si="2"/>
        <v>0</v>
      </c>
      <c r="O36" s="9">
        <f>IF(OFICIAL!D36="","",IF(AND(K36=OFICIAL!R36,L36=OFICIAL!S36,M36=OFICIAL!T36),9,IF(AND(K36=OFICIAL!R36,L36=OFICIAL!S36,M36&lt;&gt;OFICIAL!T36),6,IF(AND(K36=OFICIAL!R36,OFICIAL!S36=OFICIAL!T36,M36&lt;&gt;OFICIAL!T36),6,IF(AND(K36=OFICIAL!R36,L36&lt;&gt;OFICIAL!S36,OFICIAL!T36=M36),4,IF(AND(K36=OFICIAL!R36,OFICIAL!S36&lt;&gt;L36,OFICIAL!T36&lt;&gt;M36),3,0))))))</f>
        <v>0</v>
      </c>
      <c r="Q36" s="84"/>
      <c r="R36" s="85"/>
      <c r="S36" s="86"/>
      <c r="T36" s="48"/>
      <c r="U36" s="48"/>
      <c r="V36" s="48"/>
      <c r="W36" s="86"/>
    </row>
    <row r="37" spans="1:23" x14ac:dyDescent="0.3">
      <c r="A37" s="100">
        <v>46194</v>
      </c>
      <c r="B37" s="101">
        <v>4.1666666666666664E-2</v>
      </c>
      <c r="C37" s="102" t="s">
        <v>17</v>
      </c>
      <c r="D37" s="103">
        <v>1</v>
      </c>
      <c r="E37" s="103" t="s">
        <v>1</v>
      </c>
      <c r="F37" s="103">
        <v>2</v>
      </c>
      <c r="G37" s="102" t="s">
        <v>19</v>
      </c>
      <c r="K37" s="8" t="str">
        <f t="shared" si="0"/>
        <v>Japão</v>
      </c>
      <c r="L37" s="9">
        <f t="shared" si="1"/>
        <v>2</v>
      </c>
      <c r="M37" s="9">
        <f t="shared" si="2"/>
        <v>1</v>
      </c>
      <c r="O37" s="9">
        <f>IF(OFICIAL!D37="","",IF(AND(K37=OFICIAL!R37,L37=OFICIAL!S37,M37=OFICIAL!T37),9,IF(AND(K37=OFICIAL!R37,L37=OFICIAL!S37,M37&lt;&gt;OFICIAL!T37),6,IF(AND(K37=OFICIAL!R37,OFICIAL!S37=OFICIAL!T37,M37&lt;&gt;OFICIAL!T37),6,IF(AND(K37=OFICIAL!R37,L37&lt;&gt;OFICIAL!S37,OFICIAL!T37=M37),4,IF(AND(K37=OFICIAL!R37,OFICIAL!S37&lt;&gt;L37,OFICIAL!T37&lt;&gt;M37),3,0))))))</f>
        <v>3</v>
      </c>
      <c r="Q37" s="84"/>
      <c r="R37" s="85"/>
      <c r="S37" s="86"/>
      <c r="T37" s="48"/>
      <c r="U37" s="48"/>
      <c r="V37" s="48"/>
      <c r="W37" s="86"/>
    </row>
    <row r="38" spans="1:23" x14ac:dyDescent="0.3">
      <c r="A38" s="100">
        <v>46194</v>
      </c>
      <c r="B38" s="101">
        <v>0.54166666666666663</v>
      </c>
      <c r="C38" s="102" t="s">
        <v>6</v>
      </c>
      <c r="D38" s="103">
        <v>2</v>
      </c>
      <c r="E38" s="103" t="s">
        <v>1</v>
      </c>
      <c r="F38" s="103">
        <v>0</v>
      </c>
      <c r="G38" s="102" t="s">
        <v>2</v>
      </c>
      <c r="K38" s="8" t="str">
        <f t="shared" si="0"/>
        <v>Espanha</v>
      </c>
      <c r="L38" s="9">
        <f t="shared" si="1"/>
        <v>2</v>
      </c>
      <c r="M38" s="9">
        <f t="shared" si="2"/>
        <v>0</v>
      </c>
      <c r="O38" s="9">
        <f>IF(OFICIAL!D38="","",IF(AND(K38=OFICIAL!R38,L38=OFICIAL!S38,M38=OFICIAL!T38),9,IF(AND(K38=OFICIAL!R38,L38=OFICIAL!S38,M38&lt;&gt;OFICIAL!T38),6,IF(AND(K38=OFICIAL!R38,OFICIAL!S38=OFICIAL!T38,M38&lt;&gt;OFICIAL!T38),6,IF(AND(K38=OFICIAL!R38,L38&lt;&gt;OFICIAL!S38,OFICIAL!T38=M38),4,IF(AND(K38=OFICIAL!R38,OFICIAL!S38&lt;&gt;L38,OFICIAL!T38&lt;&gt;M38),3,0))))))</f>
        <v>4</v>
      </c>
      <c r="Q38" s="84"/>
      <c r="R38" s="85"/>
      <c r="S38" s="86"/>
      <c r="T38" s="48"/>
      <c r="U38" s="48"/>
      <c r="V38" s="48"/>
      <c r="W38" s="86"/>
    </row>
    <row r="39" spans="1:23" x14ac:dyDescent="0.3">
      <c r="A39" s="100">
        <v>46194</v>
      </c>
      <c r="B39" s="101">
        <v>0.66666666666666663</v>
      </c>
      <c r="C39" s="102" t="s">
        <v>16</v>
      </c>
      <c r="D39" s="103">
        <v>2</v>
      </c>
      <c r="E39" s="103" t="s">
        <v>1</v>
      </c>
      <c r="F39" s="103">
        <v>1</v>
      </c>
      <c r="G39" s="102" t="s">
        <v>103</v>
      </c>
      <c r="K39" s="8" t="str">
        <f t="shared" si="0"/>
        <v>Bélgica</v>
      </c>
      <c r="L39" s="9">
        <f t="shared" si="1"/>
        <v>2</v>
      </c>
      <c r="M39" s="9">
        <f t="shared" si="2"/>
        <v>1</v>
      </c>
      <c r="O39" s="9">
        <f>IF(OFICIAL!D39="","",IF(AND(K39=OFICIAL!R39,L39=OFICIAL!S39,M39=OFICIAL!T39),9,IF(AND(K39=OFICIAL!R39,L39=OFICIAL!S39,M39&lt;&gt;OFICIAL!T39),6,IF(AND(K39=OFICIAL!R39,OFICIAL!S39=OFICIAL!T39,M39&lt;&gt;OFICIAL!T39),6,IF(AND(K39=OFICIAL!R39,L39&lt;&gt;OFICIAL!S39,OFICIAL!T39=M39),4,IF(AND(K39=OFICIAL!R39,OFICIAL!S39&lt;&gt;L39,OFICIAL!T39&lt;&gt;M39),3,0))))))</f>
        <v>0</v>
      </c>
      <c r="Q39" s="84"/>
      <c r="R39" s="85"/>
      <c r="S39" s="86"/>
      <c r="T39" s="48"/>
      <c r="U39" s="48"/>
      <c r="V39" s="48"/>
      <c r="W39" s="86"/>
    </row>
    <row r="40" spans="1:23" x14ac:dyDescent="0.3">
      <c r="A40" s="100">
        <v>46194</v>
      </c>
      <c r="B40" s="101">
        <v>0.79166666666666663</v>
      </c>
      <c r="C40" s="102" t="s">
        <v>3</v>
      </c>
      <c r="D40" s="103">
        <v>2</v>
      </c>
      <c r="E40" s="103" t="s">
        <v>1</v>
      </c>
      <c r="F40" s="103">
        <v>0</v>
      </c>
      <c r="G40" s="102" t="s">
        <v>121</v>
      </c>
      <c r="K40" s="8" t="str">
        <f t="shared" si="0"/>
        <v>Uruguai</v>
      </c>
      <c r="L40" s="9">
        <f t="shared" si="1"/>
        <v>2</v>
      </c>
      <c r="M40" s="9">
        <f t="shared" si="2"/>
        <v>0</v>
      </c>
      <c r="O40" s="9">
        <f>IF(OFICIAL!D40="","",IF(AND(K40=OFICIAL!R40,L40=OFICIAL!S40,M40=OFICIAL!T40),9,IF(AND(K40=OFICIAL!R40,L40=OFICIAL!S40,M40&lt;&gt;OFICIAL!T40),6,IF(AND(K40=OFICIAL!R40,OFICIAL!S40=OFICIAL!T40,M40&lt;&gt;OFICIAL!T40),6,IF(AND(K40=OFICIAL!R40,L40&lt;&gt;OFICIAL!S40,OFICIAL!T40=M40),4,IF(AND(K40=OFICIAL!R40,OFICIAL!S40&lt;&gt;L40,OFICIAL!T40&lt;&gt;M40),3,0))))))</f>
        <v>0</v>
      </c>
      <c r="Q40" s="84"/>
      <c r="R40" s="85"/>
      <c r="S40" s="86"/>
      <c r="T40" s="48"/>
      <c r="U40" s="48"/>
      <c r="V40" s="48"/>
      <c r="W40" s="86"/>
    </row>
    <row r="41" spans="1:23" x14ac:dyDescent="0.3">
      <c r="A41" s="100">
        <v>46194</v>
      </c>
      <c r="B41" s="101">
        <v>0.91666666666666663</v>
      </c>
      <c r="C41" s="102" t="s">
        <v>120</v>
      </c>
      <c r="D41" s="103">
        <v>1</v>
      </c>
      <c r="E41" s="103" t="s">
        <v>1</v>
      </c>
      <c r="F41" s="103">
        <v>1</v>
      </c>
      <c r="G41" s="102" t="s">
        <v>119</v>
      </c>
      <c r="K41" s="8" t="str">
        <f t="shared" si="0"/>
        <v>EMPATE</v>
      </c>
      <c r="L41" s="9">
        <f t="shared" si="1"/>
        <v>1</v>
      </c>
      <c r="M41" s="9">
        <f t="shared" si="2"/>
        <v>1</v>
      </c>
      <c r="O41" s="9">
        <f>IF(OFICIAL!D41="","",IF(AND(K41=OFICIAL!R41,L41=OFICIAL!S41,M41=OFICIAL!T41),9,IF(AND(K41=OFICIAL!R41,L41=OFICIAL!S41,M41&lt;&gt;OFICIAL!T41),6,IF(AND(K41=OFICIAL!R41,OFICIAL!S41=OFICIAL!T41,M41&lt;&gt;OFICIAL!T41),6,IF(AND(K41=OFICIAL!R41,L41&lt;&gt;OFICIAL!S41,OFICIAL!T41=M41),4,IF(AND(K41=OFICIAL!R41,OFICIAL!S41&lt;&gt;L41,OFICIAL!T41&lt;&gt;M41),3,0))))))</f>
        <v>0</v>
      </c>
      <c r="Q41" s="84"/>
      <c r="R41" s="85"/>
      <c r="S41" s="86"/>
      <c r="T41" s="48"/>
      <c r="U41" s="48"/>
      <c r="V41" s="48"/>
      <c r="W41" s="86"/>
    </row>
    <row r="42" spans="1:23" x14ac:dyDescent="0.3">
      <c r="A42" s="100">
        <v>46195</v>
      </c>
      <c r="B42" s="101">
        <v>0.58333333333333337</v>
      </c>
      <c r="C42" s="102" t="s">
        <v>9</v>
      </c>
      <c r="D42" s="103">
        <v>2</v>
      </c>
      <c r="E42" s="103" t="s">
        <v>1</v>
      </c>
      <c r="F42" s="103">
        <v>1</v>
      </c>
      <c r="G42" s="102" t="s">
        <v>125</v>
      </c>
      <c r="K42" s="8" t="str">
        <f t="shared" si="0"/>
        <v>Argentina</v>
      </c>
      <c r="L42" s="9">
        <f t="shared" si="1"/>
        <v>2</v>
      </c>
      <c r="M42" s="9">
        <f t="shared" si="2"/>
        <v>1</v>
      </c>
      <c r="O42" s="9">
        <f>IF(OFICIAL!D42="","",IF(AND(K42=OFICIAL!R42,L42=OFICIAL!S42,M42=OFICIAL!T42),9,IF(AND(K42=OFICIAL!R42,L42=OFICIAL!S42,M42&lt;&gt;OFICIAL!T42),6,IF(AND(K42=OFICIAL!R42,OFICIAL!S42=OFICIAL!T42,M42&lt;&gt;OFICIAL!T42),6,IF(AND(K42=OFICIAL!R42,L42&lt;&gt;OFICIAL!S42,OFICIAL!T42=M42),4,IF(AND(K42=OFICIAL!R42,OFICIAL!S42&lt;&gt;L42,OFICIAL!T42&lt;&gt;M42),3,0))))))</f>
        <v>6</v>
      </c>
      <c r="Q42" s="84"/>
      <c r="R42" s="85"/>
      <c r="S42" s="86"/>
      <c r="T42" s="48"/>
      <c r="U42" s="48"/>
      <c r="V42" s="48"/>
      <c r="W42" s="86"/>
    </row>
    <row r="43" spans="1:23" x14ac:dyDescent="0.3">
      <c r="A43" s="100">
        <v>46195</v>
      </c>
      <c r="B43" s="101">
        <v>0.75</v>
      </c>
      <c r="C43" s="102" t="s">
        <v>7</v>
      </c>
      <c r="D43" s="103">
        <v>3</v>
      </c>
      <c r="E43" s="103" t="s">
        <v>1</v>
      </c>
      <c r="F43" s="103">
        <v>0</v>
      </c>
      <c r="G43" s="102" t="s">
        <v>122</v>
      </c>
      <c r="K43" s="8" t="str">
        <f t="shared" si="0"/>
        <v>França</v>
      </c>
      <c r="L43" s="9">
        <f t="shared" si="1"/>
        <v>3</v>
      </c>
      <c r="M43" s="9">
        <f t="shared" si="2"/>
        <v>0</v>
      </c>
      <c r="O43" s="9">
        <f>IF(OFICIAL!D43="","",IF(AND(K43=OFICIAL!R43,L43=OFICIAL!S43,M43=OFICIAL!T43),9,IF(AND(K43=OFICIAL!R43,L43=OFICIAL!S43,M43&lt;&gt;OFICIAL!T43),6,IF(AND(K43=OFICIAL!R43,OFICIAL!S43=OFICIAL!T43,M43&lt;&gt;OFICIAL!T43),6,IF(AND(K43=OFICIAL!R43,L43&lt;&gt;OFICIAL!S43,OFICIAL!T43=M43),4,IF(AND(K43=OFICIAL!R43,OFICIAL!S43&lt;&gt;L43,OFICIAL!T43&lt;&gt;M43),3,0))))))</f>
        <v>9</v>
      </c>
      <c r="Q43" s="84"/>
      <c r="R43" s="85"/>
      <c r="S43" s="86"/>
      <c r="T43" s="48"/>
      <c r="U43" s="48"/>
      <c r="V43" s="48"/>
      <c r="W43" s="86"/>
    </row>
    <row r="44" spans="1:23" x14ac:dyDescent="0.3">
      <c r="A44" s="100">
        <v>46195</v>
      </c>
      <c r="B44" s="101">
        <v>0.875</v>
      </c>
      <c r="C44" s="102" t="s">
        <v>123</v>
      </c>
      <c r="D44" s="103">
        <v>2</v>
      </c>
      <c r="E44" s="103" t="s">
        <v>1</v>
      </c>
      <c r="F44" s="103">
        <v>1</v>
      </c>
      <c r="G44" s="102" t="s">
        <v>20</v>
      </c>
      <c r="K44" s="8" t="str">
        <f t="shared" si="0"/>
        <v>Noruega</v>
      </c>
      <c r="L44" s="9">
        <f t="shared" si="1"/>
        <v>2</v>
      </c>
      <c r="M44" s="9">
        <f t="shared" si="2"/>
        <v>1</v>
      </c>
      <c r="O44" s="9">
        <f>IF(OFICIAL!D44="","",IF(AND(K44=OFICIAL!R44,L44=OFICIAL!S44,M44=OFICIAL!T44),9,IF(AND(K44=OFICIAL!R44,L44=OFICIAL!S44,M44&lt;&gt;OFICIAL!T44),6,IF(AND(K44=OFICIAL!R44,OFICIAL!S44=OFICIAL!T44,M44&lt;&gt;OFICIAL!T44),6,IF(AND(K44=OFICIAL!R44,L44&lt;&gt;OFICIAL!S44,OFICIAL!T44=M44),4,IF(AND(K44=OFICIAL!R44,OFICIAL!S44&lt;&gt;L44,OFICIAL!T44&lt;&gt;M44),3,0))))))</f>
        <v>3</v>
      </c>
      <c r="Q44" s="84"/>
      <c r="R44" s="85"/>
      <c r="S44" s="86"/>
      <c r="T44" s="48"/>
      <c r="U44" s="48"/>
      <c r="V44" s="48"/>
      <c r="W44" s="86"/>
    </row>
    <row r="45" spans="1:23" x14ac:dyDescent="0.3">
      <c r="A45" s="100">
        <v>46196</v>
      </c>
      <c r="B45" s="101">
        <v>0</v>
      </c>
      <c r="C45" s="102" t="s">
        <v>126</v>
      </c>
      <c r="D45" s="103">
        <v>0</v>
      </c>
      <c r="E45" s="103" t="s">
        <v>1</v>
      </c>
      <c r="F45" s="103">
        <v>1</v>
      </c>
      <c r="G45" s="102" t="s">
        <v>124</v>
      </c>
      <c r="K45" s="8" t="str">
        <f t="shared" si="0"/>
        <v>Argélia</v>
      </c>
      <c r="L45" s="9">
        <f t="shared" si="1"/>
        <v>1</v>
      </c>
      <c r="M45" s="9">
        <f t="shared" si="2"/>
        <v>0</v>
      </c>
      <c r="O45" s="9">
        <f>IF(OFICIAL!D45="","",IF(AND(K45=OFICIAL!R45,L45=OFICIAL!S45,M45=OFICIAL!T45),9,IF(AND(K45=OFICIAL!R45,L45=OFICIAL!S45,M45&lt;&gt;OFICIAL!T45),6,IF(AND(K45=OFICIAL!R45,OFICIAL!S45=OFICIAL!T45,M45&lt;&gt;OFICIAL!T45),6,IF(AND(K45=OFICIAL!R45,L45&lt;&gt;OFICIAL!S45,OFICIAL!T45=M45),4,IF(AND(K45=OFICIAL!R45,OFICIAL!S45&lt;&gt;L45,OFICIAL!T45&lt;&gt;M45),3,0))))))</f>
        <v>3</v>
      </c>
      <c r="Q45" s="84"/>
      <c r="R45" s="85"/>
      <c r="S45" s="86"/>
      <c r="T45" s="48"/>
      <c r="U45" s="48"/>
      <c r="V45" s="48"/>
      <c r="W45" s="86"/>
    </row>
    <row r="46" spans="1:23" ht="15" customHeight="1" x14ac:dyDescent="0.3">
      <c r="A46" s="100">
        <v>46196</v>
      </c>
      <c r="B46" s="101">
        <v>0.58333333333333337</v>
      </c>
      <c r="C46" s="102" t="s">
        <v>5</v>
      </c>
      <c r="D46" s="103">
        <v>3</v>
      </c>
      <c r="E46" s="103" t="s">
        <v>1</v>
      </c>
      <c r="F46" s="103">
        <v>0</v>
      </c>
      <c r="G46" s="102" t="s">
        <v>128</v>
      </c>
      <c r="K46" s="8" t="str">
        <f t="shared" ref="K46:K73" si="4">IF(D46="","",IF(D46&gt;F46,C46,IF(F46&gt;D46,G46,"EMPATE")))</f>
        <v>Portugal</v>
      </c>
      <c r="L46" s="9">
        <f t="shared" ref="L46:L73" si="5">IF(D46="","",IF(D46&gt;F46,D46,IF(F46&gt;D46,F46,D46)))</f>
        <v>3</v>
      </c>
      <c r="M46" s="9">
        <f t="shared" ref="M46:M73" si="6">IF(D46="","",IF(D46&lt;F46,D46,IF(F46&lt;D46,F46,D46)))</f>
        <v>0</v>
      </c>
      <c r="O46" s="9">
        <f>IF(OFICIAL!D46="","",IF(AND(K46=OFICIAL!R46,L46=OFICIAL!S46,M46=OFICIAL!T46),9,IF(AND(K46=OFICIAL!R46,L46=OFICIAL!S46,M46&lt;&gt;OFICIAL!T46),6,IF(AND(K46=OFICIAL!R46,OFICIAL!S46=OFICIAL!T46,M46&lt;&gt;OFICIAL!T46),6,IF(AND(K46=OFICIAL!R46,L46&lt;&gt;OFICIAL!S46,OFICIAL!T46=M46),4,IF(AND(K46=OFICIAL!R46,OFICIAL!S46&lt;&gt;L46,OFICIAL!T46&lt;&gt;M46),3,0))))))</f>
        <v>4</v>
      </c>
      <c r="Q46" s="84"/>
      <c r="R46" s="85"/>
      <c r="S46" s="86"/>
      <c r="T46" s="48"/>
      <c r="U46" s="48"/>
      <c r="V46" s="48"/>
      <c r="W46" s="86"/>
    </row>
    <row r="47" spans="1:23" x14ac:dyDescent="0.3">
      <c r="A47" s="100">
        <v>46196</v>
      </c>
      <c r="B47" s="101">
        <v>0.70833333333333337</v>
      </c>
      <c r="C47" s="102" t="s">
        <v>18</v>
      </c>
      <c r="D47" s="103">
        <v>2</v>
      </c>
      <c r="E47" s="103" t="s">
        <v>1</v>
      </c>
      <c r="F47" s="103">
        <v>1</v>
      </c>
      <c r="G47" s="102" t="s">
        <v>106</v>
      </c>
      <c r="K47" s="8" t="str">
        <f t="shared" si="4"/>
        <v>Inglaterra</v>
      </c>
      <c r="L47" s="9">
        <f t="shared" si="5"/>
        <v>2</v>
      </c>
      <c r="M47" s="9">
        <f t="shared" si="6"/>
        <v>1</v>
      </c>
      <c r="O47" s="9">
        <f>IF(OFICIAL!D47="","",IF(AND(K47=OFICIAL!R47,L47=OFICIAL!S47,M47=OFICIAL!T47),9,IF(AND(K47=OFICIAL!R47,L47=OFICIAL!S47,M47&lt;&gt;OFICIAL!T47),6,IF(AND(K47=OFICIAL!R47,OFICIAL!S47=OFICIAL!T47,M47&lt;&gt;OFICIAL!T47),6,IF(AND(K47=OFICIAL!R47,L47&lt;&gt;OFICIAL!S47,OFICIAL!T47=M47),4,IF(AND(K47=OFICIAL!R47,OFICIAL!S47&lt;&gt;L47,OFICIAL!T47&lt;&gt;M47),3,0))))))</f>
        <v>0</v>
      </c>
      <c r="Q47" s="84"/>
      <c r="R47" s="85"/>
      <c r="S47" s="86"/>
      <c r="T47" s="48"/>
      <c r="U47" s="48"/>
      <c r="V47" s="48"/>
      <c r="W47" s="86"/>
    </row>
    <row r="48" spans="1:23" x14ac:dyDescent="0.3">
      <c r="A48" s="100">
        <v>46196</v>
      </c>
      <c r="B48" s="101">
        <v>0.83333333333333337</v>
      </c>
      <c r="C48" s="102" t="s">
        <v>130</v>
      </c>
      <c r="D48" s="103">
        <v>0</v>
      </c>
      <c r="E48" s="103" t="s">
        <v>1</v>
      </c>
      <c r="F48" s="103">
        <v>2</v>
      </c>
      <c r="G48" s="102" t="s">
        <v>10</v>
      </c>
      <c r="K48" s="8" t="str">
        <f t="shared" si="4"/>
        <v>Croácia</v>
      </c>
      <c r="L48" s="9">
        <f t="shared" si="5"/>
        <v>2</v>
      </c>
      <c r="M48" s="9">
        <f t="shared" si="6"/>
        <v>0</v>
      </c>
      <c r="O48" s="9">
        <f>IF(OFICIAL!D48="","",IF(AND(K48=OFICIAL!R48,L48=OFICIAL!S48,M48=OFICIAL!T48),9,IF(AND(K48=OFICIAL!R48,L48=OFICIAL!S48,M48&lt;&gt;OFICIAL!T48),6,IF(AND(K48=OFICIAL!R48,OFICIAL!S48=OFICIAL!T48,M48&lt;&gt;OFICIAL!T48),6,IF(AND(K48=OFICIAL!R48,L48&lt;&gt;OFICIAL!S48,OFICIAL!T48=M48),4,IF(AND(K48=OFICIAL!R48,OFICIAL!S48&lt;&gt;L48,OFICIAL!T48&lt;&gt;M48),3,0))))))</f>
        <v>4</v>
      </c>
      <c r="Q48" s="84"/>
      <c r="R48" s="85"/>
      <c r="S48" s="86"/>
      <c r="T48" s="48"/>
      <c r="U48" s="48"/>
      <c r="V48" s="48"/>
      <c r="W48" s="86"/>
    </row>
    <row r="49" spans="1:23" x14ac:dyDescent="0.3">
      <c r="A49" s="104">
        <v>46196</v>
      </c>
      <c r="B49" s="101">
        <v>0.95833333333333337</v>
      </c>
      <c r="C49" s="105" t="s">
        <v>129</v>
      </c>
      <c r="D49" s="106">
        <v>2</v>
      </c>
      <c r="E49" s="106" t="s">
        <v>1</v>
      </c>
      <c r="F49" s="106">
        <v>0</v>
      </c>
      <c r="G49" s="105" t="s">
        <v>127</v>
      </c>
      <c r="K49" s="8" t="str">
        <f t="shared" si="4"/>
        <v>Colômbia</v>
      </c>
      <c r="L49" s="9">
        <f t="shared" si="5"/>
        <v>2</v>
      </c>
      <c r="M49" s="9">
        <f t="shared" si="6"/>
        <v>0</v>
      </c>
      <c r="O49" s="9">
        <f>IF(OFICIAL!D49="","",IF(AND(K49=OFICIAL!R49,L49=OFICIAL!S49,M49=OFICIAL!T49),9,IF(AND(K49=OFICIAL!R49,L49=OFICIAL!S49,M49&lt;&gt;OFICIAL!T49),6,IF(AND(K49=OFICIAL!R49,OFICIAL!S49=OFICIAL!T49,M49&lt;&gt;OFICIAL!T49),6,IF(AND(K49=OFICIAL!R49,L49&lt;&gt;OFICIAL!S49,OFICIAL!T49=M49),4,IF(AND(K49=OFICIAL!R49,OFICIAL!S49&lt;&gt;L49,OFICIAL!T49&lt;&gt;M49),3,0))))))</f>
        <v>4</v>
      </c>
      <c r="Q49" s="84"/>
      <c r="R49" s="85"/>
      <c r="S49" s="86"/>
      <c r="T49" s="48"/>
      <c r="U49" s="48"/>
      <c r="V49" s="48"/>
      <c r="W49" s="86"/>
    </row>
    <row r="50" spans="1:23" x14ac:dyDescent="0.3">
      <c r="A50" s="56">
        <v>46197</v>
      </c>
      <c r="B50" s="54">
        <v>0.66666666666666663</v>
      </c>
      <c r="C50" s="57" t="s">
        <v>72</v>
      </c>
      <c r="D50" s="58">
        <v>1</v>
      </c>
      <c r="E50" s="58" t="s">
        <v>1</v>
      </c>
      <c r="F50" s="58">
        <v>1</v>
      </c>
      <c r="G50" s="57" t="s">
        <v>105</v>
      </c>
      <c r="K50" s="8" t="str">
        <f t="shared" si="4"/>
        <v>EMPATE</v>
      </c>
      <c r="L50" s="9">
        <f t="shared" si="5"/>
        <v>1</v>
      </c>
      <c r="M50" s="9">
        <f t="shared" si="6"/>
        <v>1</v>
      </c>
      <c r="O50" s="9">
        <f>IF(OFICIAL!D50="","",IF(AND(K50=OFICIAL!R50,L50=OFICIAL!S50,M50=OFICIAL!T50),9,IF(AND(K50=OFICIAL!R50,L50=OFICIAL!S50,M50&lt;&gt;OFICIAL!T50),6,IF(AND(K50=OFICIAL!R50,OFICIAL!S50=OFICIAL!T50,M50&lt;&gt;OFICIAL!T50),6,IF(AND(K50=OFICIAL!R50,L50&lt;&gt;OFICIAL!S50,OFICIAL!T50=M50),4,IF(AND(K50=OFICIAL!R50,OFICIAL!S50&lt;&gt;L50,OFICIAL!T50&lt;&gt;M50),3,0))))))</f>
        <v>0</v>
      </c>
      <c r="Q50" s="86"/>
      <c r="R50" s="48"/>
      <c r="S50" s="48"/>
      <c r="T50" s="48"/>
      <c r="U50" s="86"/>
    </row>
    <row r="51" spans="1:23" x14ac:dyDescent="0.3">
      <c r="A51" s="56">
        <v>46197</v>
      </c>
      <c r="B51" s="54">
        <v>0.66666666666666663</v>
      </c>
      <c r="C51" s="57" t="s">
        <v>112</v>
      </c>
      <c r="D51" s="58">
        <v>2</v>
      </c>
      <c r="E51" s="58" t="s">
        <v>1</v>
      </c>
      <c r="F51" s="58">
        <v>0</v>
      </c>
      <c r="G51" s="57" t="s">
        <v>97</v>
      </c>
      <c r="K51" s="8" t="str">
        <f t="shared" si="4"/>
        <v>Bósnia</v>
      </c>
      <c r="L51" s="9">
        <f t="shared" si="5"/>
        <v>2</v>
      </c>
      <c r="M51" s="9">
        <f t="shared" si="6"/>
        <v>0</v>
      </c>
      <c r="O51" s="9">
        <f>IF(OFICIAL!D51="","",IF(AND(K51=OFICIAL!R51,L51=OFICIAL!S51,M51=OFICIAL!T51),9,IF(AND(K51=OFICIAL!R51,L51=OFICIAL!S51,M51&lt;&gt;OFICIAL!T51),6,IF(AND(K51=OFICIAL!R51,OFICIAL!S51=OFICIAL!T51,M51&lt;&gt;OFICIAL!T51),6,IF(AND(K51=OFICIAL!R51,L51&lt;&gt;OFICIAL!S51,OFICIAL!T51=M51),4,IF(AND(K51=OFICIAL!R51,OFICIAL!S51&lt;&gt;L51,OFICIAL!T51&lt;&gt;M51),3,0))))))</f>
        <v>3</v>
      </c>
      <c r="Q51" s="86"/>
      <c r="R51" s="48"/>
      <c r="S51" s="48"/>
      <c r="T51" s="48"/>
      <c r="U51" s="86"/>
    </row>
    <row r="52" spans="1:23" x14ac:dyDescent="0.3">
      <c r="A52" s="56">
        <v>46197</v>
      </c>
      <c r="B52" s="54">
        <v>0.79166666666666663</v>
      </c>
      <c r="C52" s="59" t="s">
        <v>4</v>
      </c>
      <c r="D52" s="58">
        <v>3</v>
      </c>
      <c r="E52" s="58" t="s">
        <v>1</v>
      </c>
      <c r="F52" s="58">
        <v>0</v>
      </c>
      <c r="G52" s="59" t="s">
        <v>113</v>
      </c>
      <c r="K52" s="8" t="str">
        <f t="shared" si="4"/>
        <v>Marrocos</v>
      </c>
      <c r="L52" s="9">
        <f t="shared" si="5"/>
        <v>3</v>
      </c>
      <c r="M52" s="9">
        <f t="shared" si="6"/>
        <v>0</v>
      </c>
      <c r="O52" s="9">
        <f>IF(OFICIAL!D52="","",IF(AND(K52=OFICIAL!R52,L52=OFICIAL!S52,M52=OFICIAL!T52),9,IF(AND(K52=OFICIAL!R52,L52=OFICIAL!S52,M52&lt;&gt;OFICIAL!T52),6,IF(AND(K52=OFICIAL!R52,OFICIAL!S52=OFICIAL!T52,M52&lt;&gt;OFICIAL!T52),6,IF(AND(K52=OFICIAL!R52,L52&lt;&gt;OFICIAL!S52,OFICIAL!T52=M52),4,IF(AND(K52=OFICIAL!R52,OFICIAL!S52&lt;&gt;L52,OFICIAL!T52&lt;&gt;M52),3,0))))))</f>
        <v>3</v>
      </c>
      <c r="Q52" s="117"/>
      <c r="R52" s="48"/>
      <c r="S52" s="48"/>
      <c r="T52" s="48"/>
      <c r="U52" s="117"/>
    </row>
    <row r="53" spans="1:23" x14ac:dyDescent="0.3">
      <c r="A53" s="56">
        <v>46197</v>
      </c>
      <c r="B53" s="54">
        <v>0.79166666666666663</v>
      </c>
      <c r="C53" s="59" t="s">
        <v>114</v>
      </c>
      <c r="D53" s="58">
        <v>0</v>
      </c>
      <c r="E53" s="58" t="s">
        <v>1</v>
      </c>
      <c r="F53" s="58">
        <v>3</v>
      </c>
      <c r="G53" s="59" t="s">
        <v>11</v>
      </c>
      <c r="K53" s="8" t="str">
        <f t="shared" si="4"/>
        <v>Brasil</v>
      </c>
      <c r="L53" s="9">
        <f t="shared" si="5"/>
        <v>3</v>
      </c>
      <c r="M53" s="9">
        <f t="shared" si="6"/>
        <v>0</v>
      </c>
      <c r="O53" s="9">
        <f>IF(OFICIAL!D53="","",IF(AND(K53=OFICIAL!R53,L53=OFICIAL!S53,M53=OFICIAL!T53),9,IF(AND(K53=OFICIAL!R53,L53=OFICIAL!S53,M53&lt;&gt;OFICIAL!T53),6,IF(AND(K53=OFICIAL!R53,OFICIAL!S53=OFICIAL!T53,M53&lt;&gt;OFICIAL!T53),6,IF(AND(K53=OFICIAL!R53,L53&lt;&gt;OFICIAL!S53,OFICIAL!T53=M53),4,IF(AND(K53=OFICIAL!R53,OFICIAL!S53&lt;&gt;L53,OFICIAL!T53&lt;&gt;M53),3,0))))))</f>
        <v>9</v>
      </c>
      <c r="Q53" s="117"/>
      <c r="R53" s="48"/>
      <c r="S53" s="48"/>
      <c r="T53" s="48"/>
      <c r="U53" s="117"/>
    </row>
    <row r="54" spans="1:23" x14ac:dyDescent="0.3">
      <c r="A54" s="53">
        <v>46197</v>
      </c>
      <c r="B54" s="54">
        <v>0.91666666666666663</v>
      </c>
      <c r="C54" s="55" t="s">
        <v>88</v>
      </c>
      <c r="D54" s="46">
        <v>0</v>
      </c>
      <c r="E54" s="46" t="s">
        <v>1</v>
      </c>
      <c r="F54" s="46">
        <v>2</v>
      </c>
      <c r="G54" s="55" t="s">
        <v>15</v>
      </c>
      <c r="K54" s="8" t="str">
        <f t="shared" si="4"/>
        <v>Coréia do Sul</v>
      </c>
      <c r="L54" s="9">
        <f t="shared" si="5"/>
        <v>2</v>
      </c>
      <c r="M54" s="9">
        <f t="shared" si="6"/>
        <v>0</v>
      </c>
      <c r="O54" s="9">
        <f>IF(OFICIAL!D54="","",IF(AND(K54=OFICIAL!R54,L54=OFICIAL!S54,M54=OFICIAL!T54),9,IF(AND(K54=OFICIAL!R54,L54=OFICIAL!S54,M54&lt;&gt;OFICIAL!T54),6,IF(AND(K54=OFICIAL!R54,OFICIAL!S54=OFICIAL!T54,M54&lt;&gt;OFICIAL!T54),6,IF(AND(K54=OFICIAL!R54,L54&lt;&gt;OFICIAL!S54,OFICIAL!T54=M54),4,IF(AND(K54=OFICIAL!R54,OFICIAL!S54&lt;&gt;L54,OFICIAL!T54&lt;&gt;M54),3,0))))))</f>
        <v>0</v>
      </c>
      <c r="Q54" s="86"/>
      <c r="R54" s="48"/>
      <c r="S54" s="48"/>
      <c r="T54" s="48"/>
      <c r="U54" s="86"/>
    </row>
    <row r="55" spans="1:23" x14ac:dyDescent="0.3">
      <c r="A55" s="53">
        <v>46197</v>
      </c>
      <c r="B55" s="54">
        <v>0.91666666666666663</v>
      </c>
      <c r="C55" s="55" t="s">
        <v>111</v>
      </c>
      <c r="D55" s="46">
        <v>1</v>
      </c>
      <c r="E55" s="46" t="s">
        <v>1</v>
      </c>
      <c r="F55" s="46">
        <v>2</v>
      </c>
      <c r="G55" s="55" t="s">
        <v>13</v>
      </c>
      <c r="K55" s="8" t="str">
        <f t="shared" si="4"/>
        <v>México</v>
      </c>
      <c r="L55" s="9">
        <f t="shared" si="5"/>
        <v>2</v>
      </c>
      <c r="M55" s="9">
        <f t="shared" si="6"/>
        <v>1</v>
      </c>
      <c r="O55" s="9">
        <f>IF(OFICIAL!D55="","",IF(AND(K55=OFICIAL!R55,L55=OFICIAL!S55,M55=OFICIAL!T55),9,IF(AND(K55=OFICIAL!R55,L55=OFICIAL!S55,M55&lt;&gt;OFICIAL!T55),6,IF(AND(K55=OFICIAL!R55,OFICIAL!S55=OFICIAL!T55,M55&lt;&gt;OFICIAL!T55),6,IF(AND(K55=OFICIAL!R55,L55&lt;&gt;OFICIAL!S55,OFICIAL!T55=M55),4,IF(AND(K55=OFICIAL!R55,OFICIAL!S55&lt;&gt;L55,OFICIAL!T55&lt;&gt;M55),3,0))))))</f>
        <v>3</v>
      </c>
      <c r="Q55" s="86"/>
      <c r="R55" s="48"/>
      <c r="S55" s="48"/>
      <c r="T55" s="48"/>
      <c r="U55" s="86"/>
    </row>
    <row r="56" spans="1:23" x14ac:dyDescent="0.3">
      <c r="A56" s="53">
        <v>46198</v>
      </c>
      <c r="B56" s="54">
        <v>0.70833333333333337</v>
      </c>
      <c r="C56" s="45" t="s">
        <v>102</v>
      </c>
      <c r="D56" s="46">
        <v>1</v>
      </c>
      <c r="E56" s="46" t="s">
        <v>1</v>
      </c>
      <c r="F56" s="46">
        <v>2</v>
      </c>
      <c r="G56" s="45" t="s">
        <v>12</v>
      </c>
      <c r="K56" s="8" t="str">
        <f t="shared" si="4"/>
        <v>Alemanha</v>
      </c>
      <c r="L56" s="9">
        <f t="shared" si="5"/>
        <v>2</v>
      </c>
      <c r="M56" s="9">
        <f t="shared" si="6"/>
        <v>1</v>
      </c>
      <c r="O56" s="9">
        <f>IF(OFICIAL!D56="","",IF(AND(K56=OFICIAL!R56,L56=OFICIAL!S56,M56=OFICIAL!T56),9,IF(AND(K56=OFICIAL!R56,L56=OFICIAL!S56,M56&lt;&gt;OFICIAL!T56),6,IF(AND(K56=OFICIAL!R56,OFICIAL!S56=OFICIAL!T56,M56&lt;&gt;OFICIAL!T56),6,IF(AND(K56=OFICIAL!R56,L56&lt;&gt;OFICIAL!S56,OFICIAL!T56=M56),4,IF(AND(K56=OFICIAL!R56,OFICIAL!S56&lt;&gt;L56,OFICIAL!T56&lt;&gt;M56),3,0))))))</f>
        <v>0</v>
      </c>
      <c r="Q56" s="117"/>
      <c r="R56" s="48"/>
      <c r="S56" s="48"/>
      <c r="T56" s="48"/>
      <c r="U56" s="117"/>
    </row>
    <row r="57" spans="1:23" x14ac:dyDescent="0.3">
      <c r="A57" s="53">
        <v>46198</v>
      </c>
      <c r="B57" s="54">
        <v>0.70833333333333337</v>
      </c>
      <c r="C57" s="45" t="s">
        <v>117</v>
      </c>
      <c r="D57" s="46">
        <v>0</v>
      </c>
      <c r="E57" s="46" t="s">
        <v>1</v>
      </c>
      <c r="F57" s="46">
        <v>3</v>
      </c>
      <c r="G57" s="45" t="s">
        <v>118</v>
      </c>
      <c r="K57" s="8" t="str">
        <f t="shared" si="4"/>
        <v>Costa do Marfim</v>
      </c>
      <c r="L57" s="9">
        <f t="shared" si="5"/>
        <v>3</v>
      </c>
      <c r="M57" s="9">
        <f t="shared" si="6"/>
        <v>0</v>
      </c>
      <c r="O57" s="9">
        <f>IF(OFICIAL!D57="","",IF(AND(K57=OFICIAL!R57,L57=OFICIAL!S57,M57=OFICIAL!T57),9,IF(AND(K57=OFICIAL!R57,L57=OFICIAL!S57,M57&lt;&gt;OFICIAL!T57),6,IF(AND(K57=OFICIAL!R57,OFICIAL!S57=OFICIAL!T57,M57&lt;&gt;OFICIAL!T57),6,IF(AND(K57=OFICIAL!R57,L57&lt;&gt;OFICIAL!S57,OFICIAL!T57=M57),4,IF(AND(K57=OFICIAL!R57,OFICIAL!S57&lt;&gt;L57,OFICIAL!T57&lt;&gt;M57),3,0))))))</f>
        <v>4</v>
      </c>
      <c r="Q57" s="117"/>
      <c r="R57" s="48"/>
      <c r="S57" s="48"/>
      <c r="T57" s="48"/>
      <c r="U57" s="117"/>
    </row>
    <row r="58" spans="1:23" x14ac:dyDescent="0.3">
      <c r="A58" s="53">
        <v>46198</v>
      </c>
      <c r="B58" s="54">
        <v>0.83333333333333337</v>
      </c>
      <c r="C58" s="45" t="s">
        <v>17</v>
      </c>
      <c r="D58" s="46">
        <v>0</v>
      </c>
      <c r="E58" s="46" t="s">
        <v>1</v>
      </c>
      <c r="F58" s="46">
        <v>3</v>
      </c>
      <c r="G58" s="45" t="s">
        <v>78</v>
      </c>
      <c r="K58" s="8" t="str">
        <f t="shared" si="4"/>
        <v>Holanda</v>
      </c>
      <c r="L58" s="9">
        <f t="shared" si="5"/>
        <v>3</v>
      </c>
      <c r="M58" s="9">
        <f t="shared" si="6"/>
        <v>0</v>
      </c>
      <c r="O58" s="9">
        <f>IF(OFICIAL!D58="","",IF(AND(K58=OFICIAL!R58,L58=OFICIAL!S58,M58=OFICIAL!T58),9,IF(AND(K58=OFICIAL!R58,L58=OFICIAL!S58,M58&lt;&gt;OFICIAL!T58),6,IF(AND(K58=OFICIAL!R58,OFICIAL!S58=OFICIAL!T58,M58&lt;&gt;OFICIAL!T58),6,IF(AND(K58=OFICIAL!R58,L58&lt;&gt;OFICIAL!S58,OFICIAL!T58=M58),4,IF(AND(K58=OFICIAL!R58,OFICIAL!S58&lt;&gt;L58,OFICIAL!T58&lt;&gt;M58),3,0))))))</f>
        <v>6</v>
      </c>
      <c r="Q58" s="117"/>
      <c r="R58" s="48"/>
      <c r="S58" s="48"/>
      <c r="T58" s="48"/>
      <c r="U58" s="117"/>
    </row>
    <row r="59" spans="1:23" x14ac:dyDescent="0.3">
      <c r="A59" s="53">
        <v>46198</v>
      </c>
      <c r="B59" s="54">
        <v>0.83333333333333337</v>
      </c>
      <c r="C59" s="45" t="s">
        <v>19</v>
      </c>
      <c r="D59" s="46">
        <v>2</v>
      </c>
      <c r="E59" s="46" t="s">
        <v>1</v>
      </c>
      <c r="F59" s="46">
        <v>1</v>
      </c>
      <c r="G59" s="45" t="s">
        <v>14</v>
      </c>
      <c r="K59" s="8" t="str">
        <f t="shared" si="4"/>
        <v>Japão</v>
      </c>
      <c r="L59" s="9">
        <f t="shared" si="5"/>
        <v>2</v>
      </c>
      <c r="M59" s="9">
        <f t="shared" si="6"/>
        <v>1</v>
      </c>
      <c r="O59" s="9">
        <f>IF(OFICIAL!D59="","",IF(AND(K59=OFICIAL!R59,L59=OFICIAL!S59,M59=OFICIAL!T59),9,IF(AND(K59=OFICIAL!R59,L59=OFICIAL!S59,M59&lt;&gt;OFICIAL!T59),6,IF(AND(K59=OFICIAL!R59,OFICIAL!S59=OFICIAL!T59,M59&lt;&gt;OFICIAL!T59),6,IF(AND(K59=OFICIAL!R59,L59&lt;&gt;OFICIAL!S59,OFICIAL!T59=M59),4,IF(AND(K59=OFICIAL!R59,OFICIAL!S59&lt;&gt;L59,OFICIAL!T59&lt;&gt;M59),3,0))))))</f>
        <v>0</v>
      </c>
      <c r="Q59" s="117"/>
      <c r="R59" s="48"/>
      <c r="S59" s="48"/>
      <c r="T59" s="48"/>
      <c r="U59" s="117"/>
    </row>
    <row r="60" spans="1:23" x14ac:dyDescent="0.3">
      <c r="A60" s="53">
        <v>46198</v>
      </c>
      <c r="B60" s="54">
        <v>0.95833333333333337</v>
      </c>
      <c r="C60" s="45" t="s">
        <v>116</v>
      </c>
      <c r="D60" s="46">
        <v>1</v>
      </c>
      <c r="E60" s="46" t="s">
        <v>1</v>
      </c>
      <c r="F60" s="46">
        <v>2</v>
      </c>
      <c r="G60" s="45" t="s">
        <v>104</v>
      </c>
      <c r="K60" s="8" t="str">
        <f t="shared" si="4"/>
        <v>Estados Unidos</v>
      </c>
      <c r="L60" s="9">
        <f t="shared" si="5"/>
        <v>2</v>
      </c>
      <c r="M60" s="9">
        <f t="shared" si="6"/>
        <v>1</v>
      </c>
      <c r="O60" s="9">
        <f>IF(OFICIAL!D60="","",IF(AND(K60=OFICIAL!R60,L60=OFICIAL!S60,M60=OFICIAL!T60),9,IF(AND(K60=OFICIAL!R60,L60=OFICIAL!S60,M60&lt;&gt;OFICIAL!T60),6,IF(AND(K60=OFICIAL!R60,OFICIAL!S60=OFICIAL!T60,M60&lt;&gt;OFICIAL!T60),6,IF(AND(K60=OFICIAL!R60,L60&lt;&gt;OFICIAL!S60,OFICIAL!T60=M60),4,IF(AND(K60=OFICIAL!R60,OFICIAL!S60&lt;&gt;L60,OFICIAL!T60&lt;&gt;M60),3,0))))))</f>
        <v>0</v>
      </c>
      <c r="Q60" s="117"/>
      <c r="R60" s="48"/>
      <c r="S60" s="48"/>
      <c r="T60" s="48"/>
      <c r="U60" s="117"/>
    </row>
    <row r="61" spans="1:23" x14ac:dyDescent="0.3">
      <c r="A61" s="53">
        <v>46198</v>
      </c>
      <c r="B61" s="54">
        <v>0.95833333333333337</v>
      </c>
      <c r="C61" s="45" t="s">
        <v>115</v>
      </c>
      <c r="D61" s="46">
        <v>1</v>
      </c>
      <c r="E61" s="46" t="s">
        <v>1</v>
      </c>
      <c r="F61" s="46">
        <v>1</v>
      </c>
      <c r="G61" s="45" t="s">
        <v>8</v>
      </c>
      <c r="K61" s="8" t="str">
        <f t="shared" si="4"/>
        <v>EMPATE</v>
      </c>
      <c r="L61" s="9">
        <f t="shared" si="5"/>
        <v>1</v>
      </c>
      <c r="M61" s="9">
        <f t="shared" si="6"/>
        <v>1</v>
      </c>
      <c r="O61" s="9">
        <f>IF(OFICIAL!D61="","",IF(AND(K61=OFICIAL!R61,L61=OFICIAL!S61,M61=OFICIAL!T61),9,IF(AND(K61=OFICIAL!R61,L61=OFICIAL!S61,M61&lt;&gt;OFICIAL!T61),6,IF(AND(K61=OFICIAL!R61,OFICIAL!S61=OFICIAL!T61,M61&lt;&gt;OFICIAL!T61),6,IF(AND(K61=OFICIAL!R61,L61&lt;&gt;OFICIAL!S61,OFICIAL!T61=M61),4,IF(AND(K61=OFICIAL!R61,OFICIAL!S61&lt;&gt;L61,OFICIAL!T61&lt;&gt;M61),3,0))))))</f>
        <v>6</v>
      </c>
      <c r="Q61" s="117"/>
      <c r="R61" s="48"/>
      <c r="S61" s="48"/>
      <c r="T61" s="48"/>
      <c r="U61" s="117"/>
    </row>
    <row r="62" spans="1:23" x14ac:dyDescent="0.3">
      <c r="A62" s="53">
        <v>46199</v>
      </c>
      <c r="B62" s="54">
        <v>0.66666666666666663</v>
      </c>
      <c r="C62" s="45" t="s">
        <v>20</v>
      </c>
      <c r="D62" s="46">
        <v>3</v>
      </c>
      <c r="E62" s="46" t="s">
        <v>1</v>
      </c>
      <c r="F62" s="46">
        <v>1</v>
      </c>
      <c r="G62" s="45" t="s">
        <v>122</v>
      </c>
      <c r="K62" s="8" t="str">
        <f t="shared" si="4"/>
        <v>Senegal</v>
      </c>
      <c r="L62" s="9">
        <f t="shared" si="5"/>
        <v>3</v>
      </c>
      <c r="M62" s="9">
        <f t="shared" si="6"/>
        <v>1</v>
      </c>
      <c r="O62" s="9">
        <f>IF(OFICIAL!D62="","",IF(AND(K62=OFICIAL!R62,L62=OFICIAL!S62,M62=OFICIAL!T62),9,IF(AND(K62=OFICIAL!R62,L62=OFICIAL!S62,M62&lt;&gt;OFICIAL!T62),6,IF(AND(K62=OFICIAL!R62,OFICIAL!S62=OFICIAL!T62,M62&lt;&gt;OFICIAL!T62),6,IF(AND(K62=OFICIAL!R62,L62&lt;&gt;OFICIAL!S62,OFICIAL!T62=M62),4,IF(AND(K62=OFICIAL!R62,OFICIAL!S62&lt;&gt;L62,OFICIAL!T62&lt;&gt;M62),3,0))))))</f>
        <v>3</v>
      </c>
      <c r="Q62" s="117"/>
      <c r="R62" s="48"/>
      <c r="S62" s="48"/>
      <c r="T62" s="48"/>
      <c r="U62" s="117"/>
    </row>
    <row r="63" spans="1:23" x14ac:dyDescent="0.3">
      <c r="A63" s="53">
        <v>46199</v>
      </c>
      <c r="B63" s="54">
        <v>0.66666666666666663</v>
      </c>
      <c r="C63" s="45" t="s">
        <v>123</v>
      </c>
      <c r="D63" s="46">
        <v>1</v>
      </c>
      <c r="E63" s="46" t="s">
        <v>1</v>
      </c>
      <c r="F63" s="46">
        <v>2</v>
      </c>
      <c r="G63" s="45" t="s">
        <v>7</v>
      </c>
      <c r="K63" s="8" t="str">
        <f t="shared" si="4"/>
        <v>França</v>
      </c>
      <c r="L63" s="9">
        <f t="shared" si="5"/>
        <v>2</v>
      </c>
      <c r="M63" s="9">
        <f t="shared" si="6"/>
        <v>1</v>
      </c>
      <c r="O63" s="9">
        <f>IF(OFICIAL!D63="","",IF(AND(K63=OFICIAL!R63,L63=OFICIAL!S63,M63=OFICIAL!T63),9,IF(AND(K63=OFICIAL!R63,L63=OFICIAL!S63,M63&lt;&gt;OFICIAL!T63),6,IF(AND(K63=OFICIAL!R63,OFICIAL!S63=OFICIAL!T63,M63&lt;&gt;OFICIAL!T63),6,IF(AND(K63=OFICIAL!R63,L63&lt;&gt;OFICIAL!S63,OFICIAL!T63=M63),4,IF(AND(K63=OFICIAL!R63,OFICIAL!S63&lt;&gt;L63,OFICIAL!T63&lt;&gt;M63),3,0))))))</f>
        <v>4</v>
      </c>
      <c r="Q63" s="117"/>
      <c r="R63" s="48"/>
      <c r="S63" s="48"/>
      <c r="T63" s="48"/>
      <c r="U63" s="117"/>
    </row>
    <row r="64" spans="1:23" x14ac:dyDescent="0.3">
      <c r="A64" s="53">
        <v>46199</v>
      </c>
      <c r="B64" s="54">
        <v>0.875</v>
      </c>
      <c r="C64" s="45" t="s">
        <v>121</v>
      </c>
      <c r="D64" s="46">
        <v>1</v>
      </c>
      <c r="E64" s="46" t="s">
        <v>1</v>
      </c>
      <c r="F64" s="46">
        <v>1</v>
      </c>
      <c r="G64" s="45" t="s">
        <v>2</v>
      </c>
      <c r="K64" s="8" t="str">
        <f t="shared" si="4"/>
        <v>EMPATE</v>
      </c>
      <c r="L64" s="9">
        <f t="shared" si="5"/>
        <v>1</v>
      </c>
      <c r="M64" s="9">
        <f t="shared" si="6"/>
        <v>1</v>
      </c>
      <c r="O64" s="9">
        <f>IF(OFICIAL!D64="","",IF(AND(K64=OFICIAL!R64,L64=OFICIAL!S64,M64=OFICIAL!T64),9,IF(AND(K64=OFICIAL!R64,L64=OFICIAL!S64,M64&lt;&gt;OFICIAL!T64),6,IF(AND(K64=OFICIAL!R64,OFICIAL!S64=OFICIAL!T64,M64&lt;&gt;OFICIAL!T64),6,IF(AND(K64=OFICIAL!R64,L64&lt;&gt;OFICIAL!S64,OFICIAL!T64=M64),4,IF(AND(K64=OFICIAL!R64,OFICIAL!S64&lt;&gt;L64,OFICIAL!T64&lt;&gt;M64),3,0))))))</f>
        <v>6</v>
      </c>
      <c r="Q64" s="117"/>
      <c r="R64" s="48"/>
      <c r="S64" s="48"/>
      <c r="T64" s="48"/>
      <c r="U64" s="117"/>
    </row>
    <row r="65" spans="1:26" x14ac:dyDescent="0.3">
      <c r="A65" s="53">
        <v>46199</v>
      </c>
      <c r="B65" s="54">
        <v>0.875</v>
      </c>
      <c r="C65" s="45" t="s">
        <v>3</v>
      </c>
      <c r="D65" s="46">
        <v>1</v>
      </c>
      <c r="E65" s="46" t="s">
        <v>1</v>
      </c>
      <c r="F65" s="46">
        <v>2</v>
      </c>
      <c r="G65" s="45" t="s">
        <v>6</v>
      </c>
      <c r="K65" s="8" t="str">
        <f t="shared" si="4"/>
        <v>Espanha</v>
      </c>
      <c r="L65" s="9">
        <f t="shared" si="5"/>
        <v>2</v>
      </c>
      <c r="M65" s="9">
        <f t="shared" si="6"/>
        <v>1</v>
      </c>
      <c r="O65" s="9">
        <f>IF(OFICIAL!D65="","",IF(AND(K65=OFICIAL!R65,L65=OFICIAL!S65,M65=OFICIAL!T65),9,IF(AND(K65=OFICIAL!R65,L65=OFICIAL!S65,M65&lt;&gt;OFICIAL!T65),6,IF(AND(K65=OFICIAL!R65,OFICIAL!S65=OFICIAL!T65,M65&lt;&gt;OFICIAL!T65),6,IF(AND(K65=OFICIAL!R65,L65&lt;&gt;OFICIAL!S65,OFICIAL!T65=M65),4,IF(AND(K65=OFICIAL!R65,OFICIAL!S65&lt;&gt;L65,OFICIAL!T65&lt;&gt;M65),3,0))))))</f>
        <v>3</v>
      </c>
      <c r="Q65" s="117"/>
      <c r="R65" s="48"/>
      <c r="S65" s="48"/>
      <c r="T65" s="48"/>
      <c r="U65" s="117"/>
    </row>
    <row r="66" spans="1:26" x14ac:dyDescent="0.3">
      <c r="A66" s="53">
        <v>46200</v>
      </c>
      <c r="B66" s="54">
        <v>0</v>
      </c>
      <c r="C66" s="45" t="s">
        <v>119</v>
      </c>
      <c r="D66" s="46">
        <v>1</v>
      </c>
      <c r="E66" s="46" t="s">
        <v>1</v>
      </c>
      <c r="F66" s="46">
        <v>0</v>
      </c>
      <c r="G66" s="45" t="s">
        <v>103</v>
      </c>
      <c r="K66" s="8" t="str">
        <f t="shared" si="4"/>
        <v>Egito</v>
      </c>
      <c r="L66" s="9">
        <f t="shared" si="5"/>
        <v>1</v>
      </c>
      <c r="M66" s="9">
        <f t="shared" si="6"/>
        <v>0</v>
      </c>
      <c r="O66" s="9">
        <f>IF(OFICIAL!D66="","",IF(AND(K66=OFICIAL!R66,L66=OFICIAL!S66,M66=OFICIAL!T66),9,IF(AND(K66=OFICIAL!R66,L66=OFICIAL!S66,M66&lt;&gt;OFICIAL!T66),6,IF(AND(K66=OFICIAL!R66,OFICIAL!S66=OFICIAL!T66,M66&lt;&gt;OFICIAL!T66),6,IF(AND(K66=OFICIAL!R66,L66&lt;&gt;OFICIAL!S66,OFICIAL!T66=M66),4,IF(AND(K66=OFICIAL!R66,OFICIAL!S66&lt;&gt;L66,OFICIAL!T66&lt;&gt;M66),3,0))))))</f>
        <v>0</v>
      </c>
      <c r="Q66" s="117"/>
      <c r="R66" s="48"/>
      <c r="S66" s="48"/>
      <c r="T66" s="48"/>
      <c r="U66" s="117"/>
    </row>
    <row r="67" spans="1:26" x14ac:dyDescent="0.3">
      <c r="A67" s="53">
        <v>46200</v>
      </c>
      <c r="B67" s="54">
        <v>0</v>
      </c>
      <c r="C67" s="45" t="s">
        <v>120</v>
      </c>
      <c r="D67" s="46">
        <v>1</v>
      </c>
      <c r="E67" s="46" t="s">
        <v>1</v>
      </c>
      <c r="F67" s="46">
        <v>3</v>
      </c>
      <c r="G67" s="45" t="s">
        <v>16</v>
      </c>
      <c r="K67" s="8" t="str">
        <f t="shared" si="4"/>
        <v>Bélgica</v>
      </c>
      <c r="L67" s="9">
        <f t="shared" si="5"/>
        <v>3</v>
      </c>
      <c r="M67" s="9">
        <f t="shared" si="6"/>
        <v>1</v>
      </c>
      <c r="O67" s="9">
        <f>IF(OFICIAL!D67="","",IF(AND(K67=OFICIAL!R67,L67=OFICIAL!S67,M67=OFICIAL!T67),9,IF(AND(K67=OFICIAL!R67,L67=OFICIAL!S67,M67&lt;&gt;OFICIAL!T67),6,IF(AND(K67=OFICIAL!R67,OFICIAL!S67=OFICIAL!T67,M67&lt;&gt;OFICIAL!T67),6,IF(AND(K67=OFICIAL!R67,L67&lt;&gt;OFICIAL!S67,OFICIAL!T67=M67),4,IF(AND(K67=OFICIAL!R67,OFICIAL!S67&lt;&gt;L67,OFICIAL!T67&lt;&gt;M67),3,0))))))</f>
        <v>4</v>
      </c>
      <c r="Q67" s="117"/>
      <c r="R67" s="48"/>
      <c r="S67" s="48"/>
      <c r="T67" s="48"/>
      <c r="U67" s="117"/>
    </row>
    <row r="68" spans="1:26" x14ac:dyDescent="0.3">
      <c r="A68" s="53">
        <v>46200</v>
      </c>
      <c r="B68" s="54">
        <v>0.75</v>
      </c>
      <c r="C68" s="45" t="s">
        <v>10</v>
      </c>
      <c r="D68" s="46">
        <v>2</v>
      </c>
      <c r="E68" s="46" t="s">
        <v>1</v>
      </c>
      <c r="F68" s="46">
        <v>1</v>
      </c>
      <c r="G68" s="45" t="s">
        <v>106</v>
      </c>
      <c r="K68" s="8" t="str">
        <f t="shared" si="4"/>
        <v>Croácia</v>
      </c>
      <c r="L68" s="9">
        <f t="shared" si="5"/>
        <v>2</v>
      </c>
      <c r="M68" s="9">
        <f t="shared" si="6"/>
        <v>1</v>
      </c>
      <c r="O68" s="9">
        <f>IF(OFICIAL!D68="","",IF(AND(K68=OFICIAL!R68,L68=OFICIAL!S68,M68=OFICIAL!T68),9,IF(AND(K68=OFICIAL!R68,L68=OFICIAL!S68,M68&lt;&gt;OFICIAL!T68),6,IF(AND(K68=OFICIAL!R68,OFICIAL!S68=OFICIAL!T68,M68&lt;&gt;OFICIAL!T68),6,IF(AND(K68=OFICIAL!R68,L68&lt;&gt;OFICIAL!S68,OFICIAL!T68=M68),4,IF(AND(K68=OFICIAL!R68,OFICIAL!S68&lt;&gt;L68,OFICIAL!T68&lt;&gt;M68),3,0))))))</f>
        <v>9</v>
      </c>
      <c r="Q68" s="117"/>
      <c r="R68" s="48"/>
      <c r="S68" s="48"/>
      <c r="T68" s="48"/>
      <c r="U68" s="117"/>
    </row>
    <row r="69" spans="1:26" x14ac:dyDescent="0.3">
      <c r="A69" s="53">
        <v>46200</v>
      </c>
      <c r="B69" s="54">
        <v>0.75</v>
      </c>
      <c r="C69" s="45" t="s">
        <v>130</v>
      </c>
      <c r="D69" s="46">
        <v>1</v>
      </c>
      <c r="E69" s="46" t="s">
        <v>1</v>
      </c>
      <c r="F69" s="46">
        <v>4</v>
      </c>
      <c r="G69" s="45" t="s">
        <v>18</v>
      </c>
      <c r="K69" s="8" t="str">
        <f t="shared" si="4"/>
        <v>Inglaterra</v>
      </c>
      <c r="L69" s="9">
        <f t="shared" si="5"/>
        <v>4</v>
      </c>
      <c r="M69" s="9">
        <f t="shared" si="6"/>
        <v>1</v>
      </c>
      <c r="O69" s="9">
        <f>IF(OFICIAL!D69="","",IF(AND(K69=OFICIAL!R69,L69=OFICIAL!S69,M69=OFICIAL!T69),9,IF(AND(K69=OFICIAL!R69,L69=OFICIAL!S69,M69&lt;&gt;OFICIAL!T69),6,IF(AND(K69=OFICIAL!R69,OFICIAL!S69=OFICIAL!T69,M69&lt;&gt;OFICIAL!T69),6,IF(AND(K69=OFICIAL!R69,L69&lt;&gt;OFICIAL!S69,OFICIAL!T69=M69),4,IF(AND(K69=OFICIAL!R69,OFICIAL!S69&lt;&gt;L69,OFICIAL!T69&lt;&gt;M69),3,0))))))</f>
        <v>3</v>
      </c>
      <c r="Q69" s="117"/>
      <c r="R69" s="48"/>
      <c r="S69" s="48"/>
      <c r="T69" s="48"/>
      <c r="U69" s="117"/>
    </row>
    <row r="70" spans="1:26" x14ac:dyDescent="0.3">
      <c r="A70" s="53">
        <v>46200</v>
      </c>
      <c r="B70" s="54">
        <v>0.85416666666666663</v>
      </c>
      <c r="C70" s="45" t="s">
        <v>127</v>
      </c>
      <c r="D70" s="46">
        <v>1</v>
      </c>
      <c r="E70" s="46" t="s">
        <v>1</v>
      </c>
      <c r="F70" s="46">
        <v>0</v>
      </c>
      <c r="G70" s="45" t="s">
        <v>128</v>
      </c>
      <c r="K70" s="8" t="str">
        <f t="shared" si="4"/>
        <v>RD Congo</v>
      </c>
      <c r="L70" s="9">
        <f t="shared" si="5"/>
        <v>1</v>
      </c>
      <c r="M70" s="9">
        <f t="shared" si="6"/>
        <v>0</v>
      </c>
      <c r="O70" s="9">
        <f>IF(OFICIAL!D70="","",IF(AND(K70=OFICIAL!R70,L70=OFICIAL!S70,M70=OFICIAL!T70),9,IF(AND(K70=OFICIAL!R70,L70=OFICIAL!S70,M70&lt;&gt;OFICIAL!T70),6,IF(AND(K70=OFICIAL!R70,OFICIAL!S70=OFICIAL!T70,M70&lt;&gt;OFICIAL!T70),6,IF(AND(K70=OFICIAL!R70,L70&lt;&gt;OFICIAL!S70,OFICIAL!T70=M70),4,IF(AND(K70=OFICIAL!R70,OFICIAL!S70&lt;&gt;L70,OFICIAL!T70&lt;&gt;M70),3,0))))))</f>
        <v>3</v>
      </c>
      <c r="Q70" s="117"/>
      <c r="R70" s="48"/>
      <c r="S70" s="48"/>
      <c r="T70" s="48"/>
      <c r="U70" s="117"/>
    </row>
    <row r="71" spans="1:26" x14ac:dyDescent="0.3">
      <c r="A71" s="53">
        <v>46200</v>
      </c>
      <c r="B71" s="54">
        <v>0.85416666666666663</v>
      </c>
      <c r="C71" s="45" t="s">
        <v>129</v>
      </c>
      <c r="D71" s="46">
        <v>1</v>
      </c>
      <c r="E71" s="46" t="s">
        <v>1</v>
      </c>
      <c r="F71" s="46">
        <v>2</v>
      </c>
      <c r="G71" s="45" t="s">
        <v>5</v>
      </c>
      <c r="K71" s="8" t="str">
        <f t="shared" si="4"/>
        <v>Portugal</v>
      </c>
      <c r="L71" s="9">
        <f t="shared" si="5"/>
        <v>2</v>
      </c>
      <c r="M71" s="9">
        <f t="shared" si="6"/>
        <v>1</v>
      </c>
      <c r="O71" s="9">
        <f>IF(OFICIAL!D71="","",IF(AND(K71=OFICIAL!R71,L71=OFICIAL!S71,M71=OFICIAL!T71),9,IF(AND(K71=OFICIAL!R71,L71=OFICIAL!S71,M71&lt;&gt;OFICIAL!T71),6,IF(AND(K71=OFICIAL!R71,OFICIAL!S71=OFICIAL!T71,M71&lt;&gt;OFICIAL!T71),6,IF(AND(K71=OFICIAL!R71,L71&lt;&gt;OFICIAL!S71,OFICIAL!T71=M71),4,IF(AND(K71=OFICIAL!R71,OFICIAL!S71&lt;&gt;L71,OFICIAL!T71&lt;&gt;M71),3,0))))))</f>
        <v>0</v>
      </c>
      <c r="Q71" s="117"/>
      <c r="R71" s="48"/>
      <c r="S71" s="48"/>
      <c r="T71" s="48"/>
      <c r="U71" s="117"/>
    </row>
    <row r="72" spans="1:26" x14ac:dyDescent="0.3">
      <c r="A72" s="53">
        <v>46200</v>
      </c>
      <c r="B72" s="54">
        <v>0.95833333333333337</v>
      </c>
      <c r="C72" s="45" t="s">
        <v>126</v>
      </c>
      <c r="D72" s="46">
        <v>1</v>
      </c>
      <c r="E72" s="46" t="s">
        <v>1</v>
      </c>
      <c r="F72" s="46">
        <v>3</v>
      </c>
      <c r="G72" s="45" t="s">
        <v>9</v>
      </c>
      <c r="K72" s="8" t="str">
        <f t="shared" si="4"/>
        <v>Argentina</v>
      </c>
      <c r="L72" s="9">
        <f t="shared" si="5"/>
        <v>3</v>
      </c>
      <c r="M72" s="9">
        <f t="shared" si="6"/>
        <v>1</v>
      </c>
      <c r="O72" s="9">
        <f>IF(OFICIAL!D72="","",IF(AND(K72=OFICIAL!R72,L72=OFICIAL!S72,M72=OFICIAL!T72),9,IF(AND(K72=OFICIAL!R72,L72=OFICIAL!S72,M72&lt;&gt;OFICIAL!T72),6,IF(AND(K72=OFICIAL!R72,OFICIAL!S72=OFICIAL!T72,M72&lt;&gt;OFICIAL!T72),6,IF(AND(K72=OFICIAL!R72,L72&lt;&gt;OFICIAL!S72,OFICIAL!T72=M72),4,IF(AND(K72=OFICIAL!R72,OFICIAL!S72&lt;&gt;L72,OFICIAL!T72&lt;&gt;M72),3,0))))))</f>
        <v>9</v>
      </c>
      <c r="Q72" s="117"/>
      <c r="R72" s="48"/>
      <c r="S72" s="48"/>
      <c r="T72" s="48"/>
      <c r="U72" s="117"/>
    </row>
    <row r="73" spans="1:26" x14ac:dyDescent="0.3">
      <c r="A73" s="53">
        <v>46200</v>
      </c>
      <c r="B73" s="54">
        <v>0.95833333333333337</v>
      </c>
      <c r="C73" s="45" t="s">
        <v>124</v>
      </c>
      <c r="D73" s="46">
        <v>1</v>
      </c>
      <c r="E73" s="46" t="s">
        <v>1</v>
      </c>
      <c r="F73" s="46">
        <v>1</v>
      </c>
      <c r="G73" s="45" t="s">
        <v>125</v>
      </c>
      <c r="K73" s="8" t="str">
        <f t="shared" si="4"/>
        <v>EMPATE</v>
      </c>
      <c r="L73" s="9">
        <f t="shared" si="5"/>
        <v>1</v>
      </c>
      <c r="M73" s="9">
        <f t="shared" si="6"/>
        <v>1</v>
      </c>
      <c r="O73" s="9">
        <f>IF(OFICIAL!D73="","",IF(AND(K73=OFICIAL!R73,L73=OFICIAL!S73,M73=OFICIAL!T73),9,IF(AND(K73=OFICIAL!R73,L73=OFICIAL!S73,M73&lt;&gt;OFICIAL!T73),6,IF(AND(K73=OFICIAL!R73,OFICIAL!S73=OFICIAL!T73,M73&lt;&gt;OFICIAL!T73),6,IF(AND(K73=OFICIAL!R73,L73&lt;&gt;OFICIAL!S73,OFICIAL!T73=M73),4,IF(AND(K73=OFICIAL!R73,OFICIAL!S73&lt;&gt;L73,OFICIAL!T73&lt;&gt;M73),3,0))))))</f>
        <v>6</v>
      </c>
      <c r="Q73" s="117"/>
      <c r="R73" s="48"/>
      <c r="S73" s="48"/>
      <c r="T73" s="48"/>
      <c r="U73" s="117"/>
    </row>
    <row r="74" spans="1:26" x14ac:dyDescent="0.3">
      <c r="A74" s="60">
        <v>46201</v>
      </c>
      <c r="B74" s="61">
        <v>0.66666666666666663</v>
      </c>
      <c r="C74" s="62" t="s">
        <v>88</v>
      </c>
      <c r="D74" s="63">
        <v>1</v>
      </c>
      <c r="E74" s="63" t="s">
        <v>1</v>
      </c>
      <c r="F74" s="63">
        <v>2</v>
      </c>
      <c r="G74" s="62" t="s">
        <v>105</v>
      </c>
      <c r="K74" s="8" t="str">
        <f t="shared" ref="K74:K105" si="7">IF(D74="","",IF(D74&gt;F74,C74,IF(F74&gt;D74,G74,"EMPATE")))</f>
        <v>Canadá</v>
      </c>
      <c r="L74" s="9">
        <f t="shared" ref="L74:L105" si="8">IF(D74="","",IF(D74&gt;F74,D74,IF(F74&gt;D74,F74,D74)))</f>
        <v>2</v>
      </c>
      <c r="M74" s="9">
        <f t="shared" ref="M74:M105" si="9">IF(D74="","",IF(D74&lt;F74,D74,IF(F74&lt;D74,F74,D74)))</f>
        <v>1</v>
      </c>
      <c r="O74" s="9" t="str">
        <f>IF(OFICIAL!D74="","",IF(AND(K74=OFICIAL!R74,L74=OFICIAL!S74,M74=OFICIAL!T74),9,IF(AND(K74=OFICIAL!R74,L74=OFICIAL!S74,M74&lt;&gt;OFICIAL!T74),6,IF(AND(K74=OFICIAL!R74,OFICIAL!S74=OFICIAL!T74,M74&lt;&gt;OFICIAL!T74),6,IF(AND(K74=OFICIAL!R74,L74&lt;&gt;OFICIAL!S74,OFICIAL!T74=M74),4,IF(AND(K74=OFICIAL!R74,OFICIAL!S74&lt;&gt;L74,OFICIAL!T74&lt;&gt;M74),3,0))))))</f>
        <v/>
      </c>
      <c r="Q74" s="62" t="s">
        <v>88</v>
      </c>
      <c r="R74" s="63">
        <v>1</v>
      </c>
      <c r="S74" s="63" t="s">
        <v>1</v>
      </c>
      <c r="T74" s="63">
        <v>2</v>
      </c>
      <c r="U74" s="62" t="s">
        <v>105</v>
      </c>
      <c r="V74" t="b">
        <f>Q74=C74</f>
        <v>1</v>
      </c>
      <c r="Z74" t="b">
        <f>U74=G74</f>
        <v>1</v>
      </c>
    </row>
    <row r="75" spans="1:26" x14ac:dyDescent="0.3">
      <c r="A75" s="60">
        <v>46202</v>
      </c>
      <c r="B75" s="61">
        <v>0.58333333333333337</v>
      </c>
      <c r="C75" s="62" t="s">
        <v>11</v>
      </c>
      <c r="D75" s="63">
        <v>2</v>
      </c>
      <c r="E75" s="63" t="s">
        <v>1</v>
      </c>
      <c r="F75" s="63">
        <v>0</v>
      </c>
      <c r="G75" s="62" t="s">
        <v>19</v>
      </c>
      <c r="K75" s="8" t="str">
        <f t="shared" si="7"/>
        <v>Brasil</v>
      </c>
      <c r="L75" s="9">
        <f t="shared" si="8"/>
        <v>2</v>
      </c>
      <c r="M75" s="9">
        <f t="shared" si="9"/>
        <v>0</v>
      </c>
      <c r="O75" s="9" t="str">
        <f>IF(OFICIAL!D75="","",IF(AND(K75=OFICIAL!R75,L75=OFICIAL!S75,M75=OFICIAL!T75),9,IF(AND(K75=OFICIAL!R75,L75=OFICIAL!S75,M75&lt;&gt;OFICIAL!T75),6,IF(AND(K75=OFICIAL!R75,OFICIAL!S75=OFICIAL!T75,M75&lt;&gt;OFICIAL!T75),6,IF(AND(K75=OFICIAL!R75,L75&lt;&gt;OFICIAL!S75,OFICIAL!T75=M75),4,IF(AND(K75=OFICIAL!R75,OFICIAL!S75&lt;&gt;L75,OFICIAL!T75&lt;&gt;M75),3,0))))))</f>
        <v/>
      </c>
      <c r="Q75" s="62" t="s">
        <v>11</v>
      </c>
      <c r="R75" s="63">
        <v>2</v>
      </c>
      <c r="S75" s="63" t="s">
        <v>1</v>
      </c>
      <c r="T75" s="63">
        <v>0</v>
      </c>
      <c r="U75" s="62" t="s">
        <v>19</v>
      </c>
      <c r="V75" t="b">
        <f t="shared" ref="V75:V89" si="10">Q75=C75</f>
        <v>1</v>
      </c>
      <c r="Z75" t="b">
        <f t="shared" ref="Z75:Z89" si="11">U75=G75</f>
        <v>1</v>
      </c>
    </row>
    <row r="76" spans="1:26" x14ac:dyDescent="0.3">
      <c r="A76" s="60">
        <v>46202</v>
      </c>
      <c r="B76" s="61">
        <v>0.72916666666666663</v>
      </c>
      <c r="C76" s="62" t="s">
        <v>12</v>
      </c>
      <c r="D76" s="63">
        <v>2</v>
      </c>
      <c r="E76" s="63" t="s">
        <v>1</v>
      </c>
      <c r="F76" s="63">
        <v>1</v>
      </c>
      <c r="G76" s="62" t="s">
        <v>115</v>
      </c>
      <c r="K76" s="8" t="str">
        <f t="shared" si="7"/>
        <v>Alemanha</v>
      </c>
      <c r="L76" s="9">
        <f t="shared" si="8"/>
        <v>2</v>
      </c>
      <c r="M76" s="9">
        <f t="shared" si="9"/>
        <v>1</v>
      </c>
      <c r="O76" s="9" t="str">
        <f>IF(OFICIAL!D76="","",IF(AND(K76=OFICIAL!R76,L76=OFICIAL!S76,M76=OFICIAL!T76),9,IF(AND(K76=OFICIAL!R76,L76=OFICIAL!S76,M76&lt;&gt;OFICIAL!T76),6,IF(AND(K76=OFICIAL!R76,OFICIAL!S76=OFICIAL!T76,M76&lt;&gt;OFICIAL!T76),6,IF(AND(K76=OFICIAL!R76,L76&lt;&gt;OFICIAL!S76,OFICIAL!T76=M76),4,IF(AND(K76=OFICIAL!R76,OFICIAL!S76&lt;&gt;L76,OFICIAL!T76&lt;&gt;M76),3,0))))))</f>
        <v/>
      </c>
      <c r="Q76" s="62" t="s">
        <v>12</v>
      </c>
      <c r="R76" s="63">
        <v>2</v>
      </c>
      <c r="S76" s="63" t="s">
        <v>1</v>
      </c>
      <c r="T76" s="63">
        <v>1</v>
      </c>
      <c r="U76" s="62" t="s">
        <v>115</v>
      </c>
      <c r="V76" t="b">
        <f t="shared" si="10"/>
        <v>1</v>
      </c>
      <c r="Z76" t="b">
        <f t="shared" si="11"/>
        <v>1</v>
      </c>
    </row>
    <row r="77" spans="1:26" x14ac:dyDescent="0.3">
      <c r="A77" s="60">
        <v>46202</v>
      </c>
      <c r="B77" s="61">
        <v>0.91666666666666663</v>
      </c>
      <c r="C77" s="62" t="s">
        <v>78</v>
      </c>
      <c r="D77" s="63">
        <v>1</v>
      </c>
      <c r="E77" s="63" t="s">
        <v>1</v>
      </c>
      <c r="F77" s="63">
        <v>1</v>
      </c>
      <c r="G77" s="62" t="s">
        <v>4</v>
      </c>
      <c r="K77" s="8" t="str">
        <f t="shared" si="7"/>
        <v>EMPATE</v>
      </c>
      <c r="L77" s="9">
        <f t="shared" si="8"/>
        <v>1</v>
      </c>
      <c r="M77" s="9">
        <f t="shared" si="9"/>
        <v>1</v>
      </c>
      <c r="O77" s="9" t="str">
        <f>IF(OFICIAL!D77="","",IF(AND(K77=OFICIAL!R77,L77=OFICIAL!S77,M77=OFICIAL!T77),9,IF(AND(K77=OFICIAL!R77,L77=OFICIAL!S77,M77&lt;&gt;OFICIAL!T77),6,IF(AND(K77=OFICIAL!R77,OFICIAL!S77=OFICIAL!T77,M77&lt;&gt;OFICIAL!T77),6,IF(AND(K77=OFICIAL!R77,L77&lt;&gt;OFICIAL!S77,OFICIAL!T77=M77),4,IF(AND(K77=OFICIAL!R77,OFICIAL!S77&lt;&gt;L77,OFICIAL!T77&lt;&gt;M77),3,0))))))</f>
        <v/>
      </c>
      <c r="Q77" s="62" t="s">
        <v>78</v>
      </c>
      <c r="R77" s="63">
        <v>1</v>
      </c>
      <c r="S77" s="63" t="s">
        <v>1</v>
      </c>
      <c r="T77" s="63">
        <v>1</v>
      </c>
      <c r="U77" s="62" t="s">
        <v>4</v>
      </c>
      <c r="V77" t="b">
        <f t="shared" si="10"/>
        <v>1</v>
      </c>
      <c r="Z77" t="b">
        <f t="shared" si="11"/>
        <v>1</v>
      </c>
    </row>
    <row r="78" spans="1:26" x14ac:dyDescent="0.3">
      <c r="A78" s="60">
        <v>46203</v>
      </c>
      <c r="B78" s="61">
        <v>0.58333333333333337</v>
      </c>
      <c r="C78" s="62" t="s">
        <v>118</v>
      </c>
      <c r="D78" s="63">
        <v>1</v>
      </c>
      <c r="E78" s="63" t="s">
        <v>1</v>
      </c>
      <c r="F78" s="63">
        <v>2</v>
      </c>
      <c r="G78" s="62" t="s">
        <v>123</v>
      </c>
      <c r="K78" s="8" t="str">
        <f t="shared" si="7"/>
        <v>Noruega</v>
      </c>
      <c r="L78" s="9">
        <f t="shared" si="8"/>
        <v>2</v>
      </c>
      <c r="M78" s="9">
        <f t="shared" si="9"/>
        <v>1</v>
      </c>
      <c r="O78" s="9" t="str">
        <f>IF(OFICIAL!D78="","",IF(AND(K78=OFICIAL!R78,L78=OFICIAL!S78,M78=OFICIAL!T78),9,IF(AND(K78=OFICIAL!R78,L78=OFICIAL!S78,M78&lt;&gt;OFICIAL!T78),6,IF(AND(K78=OFICIAL!R78,OFICIAL!S78=OFICIAL!T78,M78&lt;&gt;OFICIAL!T78),6,IF(AND(K78=OFICIAL!R78,L78&lt;&gt;OFICIAL!S78,OFICIAL!T78=M78),4,IF(AND(K78=OFICIAL!R78,OFICIAL!S78&lt;&gt;L78,OFICIAL!T78&lt;&gt;M78),3,0))))))</f>
        <v/>
      </c>
      <c r="Q78" s="62" t="s">
        <v>118</v>
      </c>
      <c r="R78" s="63">
        <v>1</v>
      </c>
      <c r="S78" s="63" t="s">
        <v>1</v>
      </c>
      <c r="T78" s="63">
        <v>2</v>
      </c>
      <c r="U78" s="62" t="s">
        <v>123</v>
      </c>
      <c r="V78" t="b">
        <f t="shared" si="10"/>
        <v>1</v>
      </c>
      <c r="Z78" t="b">
        <f t="shared" si="11"/>
        <v>1</v>
      </c>
    </row>
    <row r="79" spans="1:26" x14ac:dyDescent="0.3">
      <c r="A79" s="60">
        <v>46203</v>
      </c>
      <c r="B79" s="61">
        <v>0.75</v>
      </c>
      <c r="C79" s="62" t="s">
        <v>7</v>
      </c>
      <c r="D79" s="63">
        <v>2</v>
      </c>
      <c r="E79" s="63" t="s">
        <v>1</v>
      </c>
      <c r="F79" s="63">
        <v>0</v>
      </c>
      <c r="G79" s="62" t="s">
        <v>14</v>
      </c>
      <c r="K79" s="8" t="str">
        <f t="shared" si="7"/>
        <v>França</v>
      </c>
      <c r="L79" s="9">
        <f t="shared" si="8"/>
        <v>2</v>
      </c>
      <c r="M79" s="9">
        <f t="shared" si="9"/>
        <v>0</v>
      </c>
      <c r="O79" s="9" t="str">
        <f>IF(OFICIAL!D79="","",IF(AND(K79=OFICIAL!R79,L79=OFICIAL!S79,M79=OFICIAL!T79),9,IF(AND(K79=OFICIAL!R79,L79=OFICIAL!S79,M79&lt;&gt;OFICIAL!T79),6,IF(AND(K79=OFICIAL!R79,OFICIAL!S79=OFICIAL!T79,M79&lt;&gt;OFICIAL!T79),6,IF(AND(K79=OFICIAL!R79,L79&lt;&gt;OFICIAL!S79,OFICIAL!T79=M79),4,IF(AND(K79=OFICIAL!R79,OFICIAL!S79&lt;&gt;L79,OFICIAL!T79&lt;&gt;M79),3,0))))))</f>
        <v/>
      </c>
      <c r="Q79" s="62" t="s">
        <v>7</v>
      </c>
      <c r="R79" s="63">
        <v>2</v>
      </c>
      <c r="S79" s="63" t="s">
        <v>1</v>
      </c>
      <c r="T79" s="63">
        <v>0</v>
      </c>
      <c r="U79" s="62" t="s">
        <v>14</v>
      </c>
      <c r="V79" t="b">
        <f t="shared" si="10"/>
        <v>1</v>
      </c>
      <c r="Z79" t="b">
        <f t="shared" si="11"/>
        <v>1</v>
      </c>
    </row>
    <row r="80" spans="1:26" x14ac:dyDescent="0.3">
      <c r="A80" s="60">
        <v>46203</v>
      </c>
      <c r="B80" s="61">
        <v>0.91666666666666663</v>
      </c>
      <c r="C80" s="62" t="s">
        <v>13</v>
      </c>
      <c r="D80" s="63">
        <v>1</v>
      </c>
      <c r="E80" s="63" t="s">
        <v>1</v>
      </c>
      <c r="F80" s="63">
        <v>1</v>
      </c>
      <c r="G80" s="62" t="s">
        <v>102</v>
      </c>
      <c r="K80" s="8" t="str">
        <f t="shared" si="7"/>
        <v>EMPATE</v>
      </c>
      <c r="L80" s="9">
        <f t="shared" si="8"/>
        <v>1</v>
      </c>
      <c r="M80" s="9">
        <f t="shared" si="9"/>
        <v>1</v>
      </c>
      <c r="O80" s="9" t="str">
        <f>IF(OFICIAL!D80="","",IF(AND(K80=OFICIAL!R80,L80=OFICIAL!S80,M80=OFICIAL!T80),9,IF(AND(K80=OFICIAL!R80,L80=OFICIAL!S80,M80&lt;&gt;OFICIAL!T80),6,IF(AND(K80=OFICIAL!R80,OFICIAL!S80=OFICIAL!T80,M80&lt;&gt;OFICIAL!T80),6,IF(AND(K80=OFICIAL!R80,L80&lt;&gt;OFICIAL!S80,OFICIAL!T80=M80),4,IF(AND(K80=OFICIAL!R80,OFICIAL!S80&lt;&gt;L80,OFICIAL!T80&lt;&gt;M80),3,0))))))</f>
        <v/>
      </c>
      <c r="Q80" s="62" t="s">
        <v>13</v>
      </c>
      <c r="R80" s="63">
        <v>1</v>
      </c>
      <c r="S80" s="63" t="s">
        <v>1</v>
      </c>
      <c r="T80" s="63">
        <v>1</v>
      </c>
      <c r="U80" s="62" t="s">
        <v>102</v>
      </c>
      <c r="V80" t="b">
        <f t="shared" si="10"/>
        <v>1</v>
      </c>
      <c r="Z80" t="b">
        <f t="shared" si="11"/>
        <v>1</v>
      </c>
    </row>
    <row r="81" spans="1:26" x14ac:dyDescent="0.3">
      <c r="A81" s="60">
        <v>46204</v>
      </c>
      <c r="B81" s="61">
        <v>0.54166666666666663</v>
      </c>
      <c r="C81" s="62" t="s">
        <v>18</v>
      </c>
      <c r="D81" s="63">
        <v>2</v>
      </c>
      <c r="E81" s="63" t="s">
        <v>1</v>
      </c>
      <c r="F81" s="63">
        <v>0</v>
      </c>
      <c r="G81" s="62" t="s">
        <v>127</v>
      </c>
      <c r="K81" s="8" t="str">
        <f t="shared" si="7"/>
        <v>Inglaterra</v>
      </c>
      <c r="L81" s="9">
        <f t="shared" si="8"/>
        <v>2</v>
      </c>
      <c r="M81" s="9">
        <f t="shared" si="9"/>
        <v>0</v>
      </c>
      <c r="O81" s="9" t="str">
        <f>IF(OFICIAL!D81="","",IF(AND(K81=OFICIAL!R81,L81=OFICIAL!S81,M81=OFICIAL!T81),9,IF(AND(K81=OFICIAL!R81,L81=OFICIAL!S81,M81&lt;&gt;OFICIAL!T81),6,IF(AND(K81=OFICIAL!R81,OFICIAL!S81=OFICIAL!T81,M81&lt;&gt;OFICIAL!T81),6,IF(AND(K81=OFICIAL!R81,L81&lt;&gt;OFICIAL!S81,OFICIAL!T81=M81),4,IF(AND(K81=OFICIAL!R81,OFICIAL!S81&lt;&gt;L81,OFICIAL!T81&lt;&gt;M81),3,0))))))</f>
        <v/>
      </c>
      <c r="Q81" s="62" t="s">
        <v>18</v>
      </c>
      <c r="R81" s="63">
        <v>2</v>
      </c>
      <c r="S81" s="63" t="s">
        <v>1</v>
      </c>
      <c r="T81" s="63">
        <v>0</v>
      </c>
      <c r="U81" s="62" t="s">
        <v>127</v>
      </c>
      <c r="V81" t="b">
        <f t="shared" si="10"/>
        <v>1</v>
      </c>
      <c r="Z81" t="b">
        <f t="shared" si="11"/>
        <v>1</v>
      </c>
    </row>
    <row r="82" spans="1:26" x14ac:dyDescent="0.3">
      <c r="A82" s="60">
        <v>46204</v>
      </c>
      <c r="B82" s="61">
        <v>0.70833333333333337</v>
      </c>
      <c r="C82" s="62" t="s">
        <v>16</v>
      </c>
      <c r="D82" s="63">
        <v>2</v>
      </c>
      <c r="E82" s="63" t="s">
        <v>1</v>
      </c>
      <c r="F82" s="63">
        <v>1</v>
      </c>
      <c r="G82" s="62" t="s">
        <v>20</v>
      </c>
      <c r="K82" s="8" t="str">
        <f t="shared" si="7"/>
        <v>Bélgica</v>
      </c>
      <c r="L82" s="9">
        <f t="shared" si="8"/>
        <v>2</v>
      </c>
      <c r="M82" s="9">
        <f t="shared" si="9"/>
        <v>1</v>
      </c>
      <c r="O82" s="9" t="str">
        <f>IF(OFICIAL!D82="","",IF(AND(K82=OFICIAL!R82,L82=OFICIAL!S82,M82=OFICIAL!T82),9,IF(AND(K82=OFICIAL!R82,L82=OFICIAL!S82,M82&lt;&gt;OFICIAL!T82),6,IF(AND(K82=OFICIAL!R82,OFICIAL!S82=OFICIAL!T82,M82&lt;&gt;OFICIAL!T82),6,IF(AND(K82=OFICIAL!R82,L82&lt;&gt;OFICIAL!S82,OFICIAL!T82=M82),4,IF(AND(K82=OFICIAL!R82,OFICIAL!S82&lt;&gt;L82,OFICIAL!T82&lt;&gt;M82),3,0))))))</f>
        <v/>
      </c>
      <c r="Q82" s="62" t="s">
        <v>16</v>
      </c>
      <c r="R82" s="63">
        <v>2</v>
      </c>
      <c r="S82" s="63" t="s">
        <v>1</v>
      </c>
      <c r="T82" s="63">
        <v>1</v>
      </c>
      <c r="U82" s="62" t="s">
        <v>20</v>
      </c>
      <c r="V82" t="b">
        <f t="shared" si="10"/>
        <v>1</v>
      </c>
      <c r="Z82" t="b">
        <f t="shared" si="11"/>
        <v>1</v>
      </c>
    </row>
    <row r="83" spans="1:26" x14ac:dyDescent="0.3">
      <c r="A83" s="60">
        <v>46204</v>
      </c>
      <c r="B83" s="61">
        <v>0.875</v>
      </c>
      <c r="C83" s="62" t="s">
        <v>104</v>
      </c>
      <c r="D83" s="63">
        <v>2</v>
      </c>
      <c r="E83" s="63" t="s">
        <v>1</v>
      </c>
      <c r="F83" s="63">
        <v>1</v>
      </c>
      <c r="G83" s="62" t="s">
        <v>112</v>
      </c>
      <c r="K83" s="8" t="str">
        <f t="shared" si="7"/>
        <v>Estados Unidos</v>
      </c>
      <c r="L83" s="9">
        <f t="shared" si="8"/>
        <v>2</v>
      </c>
      <c r="M83" s="9">
        <f t="shared" si="9"/>
        <v>1</v>
      </c>
      <c r="O83" s="9" t="str">
        <f>IF(OFICIAL!D83="","",IF(AND(K83=OFICIAL!R83,L83=OFICIAL!S83,M83=OFICIAL!T83),9,IF(AND(K83=OFICIAL!R83,L83=OFICIAL!S83,M83&lt;&gt;OFICIAL!T83),6,IF(AND(K83=OFICIAL!R83,OFICIAL!S83=OFICIAL!T83,M83&lt;&gt;OFICIAL!T83),6,IF(AND(K83=OFICIAL!R83,L83&lt;&gt;OFICIAL!S83,OFICIAL!T83=M83),4,IF(AND(K83=OFICIAL!R83,OFICIAL!S83&lt;&gt;L83,OFICIAL!T83&lt;&gt;M83),3,0))))))</f>
        <v/>
      </c>
      <c r="Q83" s="62" t="s">
        <v>104</v>
      </c>
      <c r="R83" s="63">
        <v>2</v>
      </c>
      <c r="S83" s="63" t="s">
        <v>1</v>
      </c>
      <c r="T83" s="63">
        <v>1</v>
      </c>
      <c r="U83" s="62" t="s">
        <v>112</v>
      </c>
      <c r="V83" t="b">
        <f t="shared" si="10"/>
        <v>1</v>
      </c>
      <c r="Z83" t="b">
        <f t="shared" si="11"/>
        <v>1</v>
      </c>
    </row>
    <row r="84" spans="1:26" x14ac:dyDescent="0.3">
      <c r="A84" s="60">
        <v>46205</v>
      </c>
      <c r="B84" s="61">
        <v>0.66666666666666663</v>
      </c>
      <c r="C84" s="62" t="s">
        <v>6</v>
      </c>
      <c r="D84" s="63">
        <v>2</v>
      </c>
      <c r="E84" s="63" t="s">
        <v>1</v>
      </c>
      <c r="F84" s="63">
        <v>1</v>
      </c>
      <c r="G84" s="62" t="s">
        <v>125</v>
      </c>
      <c r="K84" s="8" t="str">
        <f t="shared" si="7"/>
        <v>Espanha</v>
      </c>
      <c r="L84" s="9">
        <f t="shared" si="8"/>
        <v>2</v>
      </c>
      <c r="M84" s="9">
        <f t="shared" si="9"/>
        <v>1</v>
      </c>
      <c r="O84" s="9" t="str">
        <f>IF(OFICIAL!D84="","",IF(AND(K84=OFICIAL!R84,L84=OFICIAL!S84,M84=OFICIAL!T84),9,IF(AND(K84=OFICIAL!R84,L84=OFICIAL!S84,M84&lt;&gt;OFICIAL!T84),6,IF(AND(K84=OFICIAL!R84,OFICIAL!S84=OFICIAL!T84,M84&lt;&gt;OFICIAL!T84),6,IF(AND(K84=OFICIAL!R84,L84&lt;&gt;OFICIAL!S84,OFICIAL!T84=M84),4,IF(AND(K84=OFICIAL!R84,OFICIAL!S84&lt;&gt;L84,OFICIAL!T84&lt;&gt;M84),3,0))))))</f>
        <v/>
      </c>
      <c r="Q84" s="62" t="s">
        <v>6</v>
      </c>
      <c r="R84" s="63">
        <v>2</v>
      </c>
      <c r="S84" s="63" t="s">
        <v>1</v>
      </c>
      <c r="T84" s="63">
        <v>1</v>
      </c>
      <c r="U84" s="62" t="s">
        <v>125</v>
      </c>
      <c r="V84" t="b">
        <f t="shared" si="10"/>
        <v>1</v>
      </c>
      <c r="Z84" t="b">
        <f t="shared" si="11"/>
        <v>1</v>
      </c>
    </row>
    <row r="85" spans="1:26" x14ac:dyDescent="0.3">
      <c r="A85" s="60">
        <v>46205</v>
      </c>
      <c r="B85" s="61">
        <v>0.83333333333333337</v>
      </c>
      <c r="C85" s="62" t="s">
        <v>5</v>
      </c>
      <c r="D85" s="63">
        <v>1</v>
      </c>
      <c r="E85" s="63" t="s">
        <v>1</v>
      </c>
      <c r="F85" s="63">
        <v>1</v>
      </c>
      <c r="G85" s="62" t="s">
        <v>10</v>
      </c>
      <c r="K85" s="8" t="str">
        <f t="shared" si="7"/>
        <v>EMPATE</v>
      </c>
      <c r="L85" s="9">
        <f t="shared" si="8"/>
        <v>1</v>
      </c>
      <c r="M85" s="9">
        <f t="shared" si="9"/>
        <v>1</v>
      </c>
      <c r="O85" s="9" t="str">
        <f>IF(OFICIAL!D85="","",IF(AND(K85=OFICIAL!R85,L85=OFICIAL!S85,M85=OFICIAL!T85),9,IF(AND(K85=OFICIAL!R85,L85=OFICIAL!S85,M85&lt;&gt;OFICIAL!T85),6,IF(AND(K85=OFICIAL!R85,OFICIAL!S85=OFICIAL!T85,M85&lt;&gt;OFICIAL!T85),6,IF(AND(K85=OFICIAL!R85,L85&lt;&gt;OFICIAL!S85,OFICIAL!T85=M85),4,IF(AND(K85=OFICIAL!R85,OFICIAL!S85&lt;&gt;L85,OFICIAL!T85&lt;&gt;M85),3,0))))))</f>
        <v/>
      </c>
      <c r="Q85" s="62" t="s">
        <v>5</v>
      </c>
      <c r="R85" s="63">
        <v>1</v>
      </c>
      <c r="S85" s="63" t="s">
        <v>1</v>
      </c>
      <c r="T85" s="63">
        <v>1</v>
      </c>
      <c r="U85" s="62" t="s">
        <v>10</v>
      </c>
      <c r="V85" t="b">
        <f t="shared" si="10"/>
        <v>1</v>
      </c>
      <c r="Z85" t="b">
        <f t="shared" si="11"/>
        <v>1</v>
      </c>
    </row>
    <row r="86" spans="1:26" x14ac:dyDescent="0.3">
      <c r="A86" s="60">
        <v>46206</v>
      </c>
      <c r="B86" s="61">
        <v>0</v>
      </c>
      <c r="C86" s="62" t="s">
        <v>72</v>
      </c>
      <c r="D86" s="63">
        <v>1</v>
      </c>
      <c r="E86" s="63" t="s">
        <v>1</v>
      </c>
      <c r="F86" s="63">
        <v>0</v>
      </c>
      <c r="G86" s="62" t="s">
        <v>124</v>
      </c>
      <c r="K86" s="8" t="str">
        <f t="shared" si="7"/>
        <v>Suíça</v>
      </c>
      <c r="L86" s="9">
        <f t="shared" si="8"/>
        <v>1</v>
      </c>
      <c r="M86" s="9">
        <f t="shared" si="9"/>
        <v>0</v>
      </c>
      <c r="O86" s="9" t="str">
        <f>IF(OFICIAL!D86="","",IF(AND(K86=OFICIAL!R86,L86=OFICIAL!S86,M86=OFICIAL!T86),9,IF(AND(K86=OFICIAL!R86,L86=OFICIAL!S86,M86&lt;&gt;OFICIAL!T86),6,IF(AND(K86=OFICIAL!R86,OFICIAL!S86=OFICIAL!T86,M86&lt;&gt;OFICIAL!T86),6,IF(AND(K86=OFICIAL!R86,L86&lt;&gt;OFICIAL!S86,OFICIAL!T86=M86),4,IF(AND(K86=OFICIAL!R86,OFICIAL!S86&lt;&gt;L86,OFICIAL!T86&lt;&gt;M86),3,0))))))</f>
        <v/>
      </c>
      <c r="Q86" s="62" t="s">
        <v>72</v>
      </c>
      <c r="R86" s="63">
        <v>1</v>
      </c>
      <c r="S86" s="63" t="s">
        <v>1</v>
      </c>
      <c r="T86" s="63">
        <v>0</v>
      </c>
      <c r="U86" s="62" t="s">
        <v>124</v>
      </c>
      <c r="V86" t="b">
        <f t="shared" si="10"/>
        <v>1</v>
      </c>
      <c r="Z86" t="b">
        <f t="shared" si="11"/>
        <v>1</v>
      </c>
    </row>
    <row r="87" spans="1:26" x14ac:dyDescent="0.3">
      <c r="A87" s="60">
        <v>46206</v>
      </c>
      <c r="B87" s="61">
        <v>0.625</v>
      </c>
      <c r="C87" s="62" t="s">
        <v>8</v>
      </c>
      <c r="D87" s="63">
        <v>1</v>
      </c>
      <c r="E87" s="63" t="s">
        <v>1</v>
      </c>
      <c r="F87" s="63">
        <v>1</v>
      </c>
      <c r="G87" s="62" t="s">
        <v>119</v>
      </c>
      <c r="K87" s="8" t="str">
        <f t="shared" si="7"/>
        <v>EMPATE</v>
      </c>
      <c r="L87" s="9">
        <f t="shared" si="8"/>
        <v>1</v>
      </c>
      <c r="M87" s="9">
        <f t="shared" si="9"/>
        <v>1</v>
      </c>
      <c r="O87" s="9" t="str">
        <f>IF(OFICIAL!D87="","",IF(AND(K87=OFICIAL!R87,L87=OFICIAL!S87,M87=OFICIAL!T87),9,IF(AND(K87=OFICIAL!R87,L87=OFICIAL!S87,M87&lt;&gt;OFICIAL!T87),6,IF(AND(K87=OFICIAL!R87,OFICIAL!S87=OFICIAL!T87,M87&lt;&gt;OFICIAL!T87),6,IF(AND(K87=OFICIAL!R87,L87&lt;&gt;OFICIAL!S87,OFICIAL!T87=M87),4,IF(AND(K87=OFICIAL!R87,OFICIAL!S87&lt;&gt;L87,OFICIAL!T87&lt;&gt;M87),3,0))))))</f>
        <v/>
      </c>
      <c r="Q87" s="62" t="s">
        <v>8</v>
      </c>
      <c r="R87" s="63">
        <v>1</v>
      </c>
      <c r="S87" s="63" t="s">
        <v>1</v>
      </c>
      <c r="T87" s="63">
        <v>1</v>
      </c>
      <c r="U87" s="62" t="s">
        <v>119</v>
      </c>
      <c r="V87" t="b">
        <f t="shared" si="10"/>
        <v>1</v>
      </c>
      <c r="Z87" t="b">
        <f t="shared" si="11"/>
        <v>1</v>
      </c>
    </row>
    <row r="88" spans="1:26" x14ac:dyDescent="0.3">
      <c r="A88" s="60">
        <v>46206</v>
      </c>
      <c r="B88" s="61">
        <v>0.79166666666666663</v>
      </c>
      <c r="C88" s="62" t="s">
        <v>9</v>
      </c>
      <c r="D88" s="63">
        <v>3</v>
      </c>
      <c r="E88" s="63" t="s">
        <v>1</v>
      </c>
      <c r="F88" s="63">
        <v>1</v>
      </c>
      <c r="G88" s="62" t="s">
        <v>121</v>
      </c>
      <c r="K88" s="8" t="str">
        <f t="shared" si="7"/>
        <v>Argentina</v>
      </c>
      <c r="L88" s="9">
        <f t="shared" si="8"/>
        <v>3</v>
      </c>
      <c r="M88" s="9">
        <f t="shared" si="9"/>
        <v>1</v>
      </c>
      <c r="O88" s="9" t="str">
        <f>IF(OFICIAL!D88="","",IF(AND(K88=OFICIAL!R88,L88=OFICIAL!S88,M88=OFICIAL!T88),9,IF(AND(K88=OFICIAL!R88,L88=OFICIAL!S88,M88&lt;&gt;OFICIAL!T88),6,IF(AND(K88=OFICIAL!R88,OFICIAL!S88=OFICIAL!T88,M88&lt;&gt;OFICIAL!T88),6,IF(AND(K88=OFICIAL!R88,L88&lt;&gt;OFICIAL!S88,OFICIAL!T88=M88),4,IF(AND(K88=OFICIAL!R88,OFICIAL!S88&lt;&gt;L88,OFICIAL!T88&lt;&gt;M88),3,0))))))</f>
        <v/>
      </c>
      <c r="Q88" s="62" t="s">
        <v>9</v>
      </c>
      <c r="R88" s="63">
        <v>3</v>
      </c>
      <c r="S88" s="63" t="s">
        <v>1</v>
      </c>
      <c r="T88" s="63">
        <v>1</v>
      </c>
      <c r="U88" s="62" t="s">
        <v>121</v>
      </c>
      <c r="V88" t="b">
        <f t="shared" si="10"/>
        <v>1</v>
      </c>
      <c r="Z88" t="b">
        <f t="shared" si="11"/>
        <v>1</v>
      </c>
    </row>
    <row r="89" spans="1:26" x14ac:dyDescent="0.3">
      <c r="A89" s="60">
        <v>46206</v>
      </c>
      <c r="B89" s="61">
        <v>0.9375</v>
      </c>
      <c r="C89" s="62" t="s">
        <v>129</v>
      </c>
      <c r="D89" s="63">
        <v>2</v>
      </c>
      <c r="E89" s="63" t="s">
        <v>1</v>
      </c>
      <c r="F89" s="63">
        <v>1</v>
      </c>
      <c r="G89" s="62" t="s">
        <v>106</v>
      </c>
      <c r="K89" s="8" t="str">
        <f t="shared" si="7"/>
        <v>Colômbia</v>
      </c>
      <c r="L89" s="9">
        <f t="shared" si="8"/>
        <v>2</v>
      </c>
      <c r="M89" s="9">
        <f t="shared" si="9"/>
        <v>1</v>
      </c>
      <c r="O89" s="9" t="str">
        <f>IF(OFICIAL!D89="","",IF(AND(K89=OFICIAL!R89,L89=OFICIAL!S89,M89=OFICIAL!T89),9,IF(AND(K89=OFICIAL!R89,L89=OFICIAL!S89,M89&lt;&gt;OFICIAL!T89),6,IF(AND(K89=OFICIAL!R89,OFICIAL!S89=OFICIAL!T89,M89&lt;&gt;OFICIAL!T89),6,IF(AND(K89=OFICIAL!R89,L89&lt;&gt;OFICIAL!S89,OFICIAL!T89=M89),4,IF(AND(K89=OFICIAL!R89,OFICIAL!S89&lt;&gt;L89,OFICIAL!T89&lt;&gt;M89),3,0))))))</f>
        <v/>
      </c>
      <c r="Q89" s="62" t="s">
        <v>129</v>
      </c>
      <c r="R89" s="63">
        <v>2</v>
      </c>
      <c r="S89" s="63" t="s">
        <v>1</v>
      </c>
      <c r="T89" s="63">
        <v>1</v>
      </c>
      <c r="U89" s="62" t="s">
        <v>106</v>
      </c>
      <c r="V89" t="b">
        <f t="shared" si="10"/>
        <v>1</v>
      </c>
      <c r="Z89" t="b">
        <f t="shared" si="11"/>
        <v>1</v>
      </c>
    </row>
    <row r="90" spans="1:26" x14ac:dyDescent="0.3">
      <c r="A90" s="65">
        <v>46207</v>
      </c>
      <c r="B90" s="66">
        <v>0.58333333333333337</v>
      </c>
      <c r="C90" s="67" t="s">
        <v>135</v>
      </c>
      <c r="D90" s="64"/>
      <c r="E90" s="64" t="s">
        <v>1</v>
      </c>
      <c r="F90" s="64"/>
      <c r="G90" s="67" t="s">
        <v>142</v>
      </c>
      <c r="K90" s="8" t="str">
        <f t="shared" si="7"/>
        <v/>
      </c>
      <c r="L90" s="9" t="str">
        <f t="shared" si="8"/>
        <v/>
      </c>
      <c r="M90" s="9" t="str">
        <f t="shared" si="9"/>
        <v/>
      </c>
      <c r="O90" s="9" t="str">
        <f>IF(OFICIAL!D90="","",IF(AND(K90=OFICIAL!R90,L90=OFICIAL!S90,M90=OFICIAL!T90),9,IF(AND(K90=OFICIAL!R90,L90=OFICIAL!S90,M90&lt;&gt;OFICIAL!T90),6,IF(AND(K90=OFICIAL!R90,OFICIAL!S90=OFICIAL!T90,M90&lt;&gt;OFICIAL!T90),6,IF(AND(K90=OFICIAL!R90,L90&lt;&gt;OFICIAL!S90,OFICIAL!T90=M90),4,IF(AND(K90=OFICIAL!R90,OFICIAL!S90&lt;&gt;L90,OFICIAL!T90&lt;&gt;M90),3,0))))))</f>
        <v/>
      </c>
    </row>
    <row r="91" spans="1:26" x14ac:dyDescent="0.3">
      <c r="A91" s="65">
        <v>46207</v>
      </c>
      <c r="B91" s="66">
        <v>0.75</v>
      </c>
      <c r="C91" s="67" t="s">
        <v>133</v>
      </c>
      <c r="D91" s="64"/>
      <c r="E91" s="64" t="s">
        <v>1</v>
      </c>
      <c r="F91" s="64"/>
      <c r="G91" s="67" t="s">
        <v>134</v>
      </c>
      <c r="K91" s="8" t="str">
        <f t="shared" si="7"/>
        <v/>
      </c>
      <c r="L91" s="9" t="str">
        <f t="shared" si="8"/>
        <v/>
      </c>
      <c r="M91" s="9" t="str">
        <f t="shared" si="9"/>
        <v/>
      </c>
      <c r="O91" s="9" t="str">
        <f>IF(OFICIAL!D91="","",IF(AND(K91=OFICIAL!R91,L91=OFICIAL!S91,M91=OFICIAL!T91),9,IF(AND(K91=OFICIAL!R91,L91=OFICIAL!S91,M91&lt;&gt;OFICIAL!T91),6,IF(AND(K91=OFICIAL!R91,OFICIAL!S91=OFICIAL!T91,M91&lt;&gt;OFICIAL!T91),6,IF(AND(K91=OFICIAL!R91,L91&lt;&gt;OFICIAL!S91,OFICIAL!T91=M91),4,IF(AND(K91=OFICIAL!R91,OFICIAL!S91&lt;&gt;L91,OFICIAL!T91&lt;&gt;M91),3,0))))))</f>
        <v/>
      </c>
    </row>
    <row r="92" spans="1:26" x14ac:dyDescent="0.3">
      <c r="A92" s="65">
        <v>46208</v>
      </c>
      <c r="B92" s="66">
        <v>0.70833333333333337</v>
      </c>
      <c r="C92" s="67" t="s">
        <v>138</v>
      </c>
      <c r="D92" s="64"/>
      <c r="E92" s="64" t="s">
        <v>1</v>
      </c>
      <c r="F92" s="64"/>
      <c r="G92" s="67" t="s">
        <v>145</v>
      </c>
      <c r="K92" s="8" t="str">
        <f t="shared" si="7"/>
        <v/>
      </c>
      <c r="L92" s="9" t="str">
        <f t="shared" si="8"/>
        <v/>
      </c>
      <c r="M92" s="9" t="str">
        <f t="shared" si="9"/>
        <v/>
      </c>
      <c r="O92" s="9" t="str">
        <f>IF(OFICIAL!D92="","",IF(AND(K92=OFICIAL!R92,L92=OFICIAL!S92,M92=OFICIAL!T92),9,IF(AND(K92=OFICIAL!R92,L92=OFICIAL!S92,M92&lt;&gt;OFICIAL!T92),6,IF(AND(K92=OFICIAL!R92,OFICIAL!S92=OFICIAL!T92,M92&lt;&gt;OFICIAL!T92),6,IF(AND(K92=OFICIAL!R92,L92&lt;&gt;OFICIAL!S92,OFICIAL!T92=M92),4,IF(AND(K92=OFICIAL!R92,OFICIAL!S92&lt;&gt;L92,OFICIAL!T92&lt;&gt;M92),3,0))))))</f>
        <v/>
      </c>
    </row>
    <row r="93" spans="1:26" x14ac:dyDescent="0.3">
      <c r="A93" s="65">
        <v>46208</v>
      </c>
      <c r="B93" s="66">
        <v>0.875</v>
      </c>
      <c r="C93" s="67" t="s">
        <v>139</v>
      </c>
      <c r="D93" s="64"/>
      <c r="E93" s="64" t="s">
        <v>1</v>
      </c>
      <c r="F93" s="64"/>
      <c r="G93" s="67" t="s">
        <v>146</v>
      </c>
      <c r="K93" s="8" t="str">
        <f t="shared" si="7"/>
        <v/>
      </c>
      <c r="L93" s="9" t="str">
        <f t="shared" si="8"/>
        <v/>
      </c>
      <c r="M93" s="9" t="str">
        <f t="shared" si="9"/>
        <v/>
      </c>
      <c r="O93" s="9" t="str">
        <f>IF(OFICIAL!D93="","",IF(AND(K93=OFICIAL!R93,L93=OFICIAL!S93,M93=OFICIAL!T93),9,IF(AND(K93=OFICIAL!R93,L93=OFICIAL!S93,M93&lt;&gt;OFICIAL!T93),6,IF(AND(K93=OFICIAL!R93,OFICIAL!S93=OFICIAL!T93,M93&lt;&gt;OFICIAL!T93),6,IF(AND(K93=OFICIAL!R93,L93&lt;&gt;OFICIAL!S93,OFICIAL!T93=M93),4,IF(AND(K93=OFICIAL!R93,OFICIAL!S93&lt;&gt;L93,OFICIAL!T93&lt;&gt;M93),3,0))))))</f>
        <v/>
      </c>
    </row>
    <row r="94" spans="1:26" x14ac:dyDescent="0.3">
      <c r="A94" s="65">
        <v>46209</v>
      </c>
      <c r="B94" s="66">
        <v>0.66666666666666663</v>
      </c>
      <c r="C94" s="67" t="s">
        <v>136</v>
      </c>
      <c r="D94" s="64"/>
      <c r="E94" s="64" t="s">
        <v>1</v>
      </c>
      <c r="F94" s="64"/>
      <c r="G94" s="67" t="s">
        <v>143</v>
      </c>
      <c r="K94" s="8" t="str">
        <f t="shared" si="7"/>
        <v/>
      </c>
      <c r="L94" s="9" t="str">
        <f t="shared" si="8"/>
        <v/>
      </c>
      <c r="M94" s="9" t="str">
        <f t="shared" si="9"/>
        <v/>
      </c>
      <c r="O94" s="9" t="str">
        <f>IF(OFICIAL!D94="","",IF(AND(K94=OFICIAL!R94,L94=OFICIAL!S94,M94=OFICIAL!T94),9,IF(AND(K94=OFICIAL!R94,L94=OFICIAL!S94,M94&lt;&gt;OFICIAL!T94),6,IF(AND(K94=OFICIAL!R94,OFICIAL!S94=OFICIAL!T94,M94&lt;&gt;OFICIAL!T94),6,IF(AND(K94=OFICIAL!R94,L94&lt;&gt;OFICIAL!S94,OFICIAL!T94=M94),4,IF(AND(K94=OFICIAL!R94,OFICIAL!S94&lt;&gt;L94,OFICIAL!T94&lt;&gt;M94),3,0))))))</f>
        <v/>
      </c>
    </row>
    <row r="95" spans="1:26" x14ac:dyDescent="0.3">
      <c r="A95" s="65">
        <v>46209</v>
      </c>
      <c r="B95" s="66">
        <v>0.875</v>
      </c>
      <c r="C95" s="67" t="s">
        <v>137</v>
      </c>
      <c r="D95" s="64"/>
      <c r="E95" s="64" t="s">
        <v>1</v>
      </c>
      <c r="F95" s="64"/>
      <c r="G95" s="67" t="s">
        <v>144</v>
      </c>
      <c r="K95" s="8" t="str">
        <f t="shared" si="7"/>
        <v/>
      </c>
      <c r="L95" s="9" t="str">
        <f t="shared" si="8"/>
        <v/>
      </c>
      <c r="M95" s="9" t="str">
        <f t="shared" si="9"/>
        <v/>
      </c>
      <c r="O95" s="9" t="str">
        <f>IF(OFICIAL!D95="","",IF(AND(K95=OFICIAL!R95,L95=OFICIAL!S95,M95=OFICIAL!T95),9,IF(AND(K95=OFICIAL!R95,L95=OFICIAL!S95,M95&lt;&gt;OFICIAL!T95),6,IF(AND(K95=OFICIAL!R95,OFICIAL!S95=OFICIAL!T95,M95&lt;&gt;OFICIAL!T95),6,IF(AND(K95=OFICIAL!R95,L95&lt;&gt;OFICIAL!S95,OFICIAL!T95=M95),4,IF(AND(K95=OFICIAL!R95,OFICIAL!S95&lt;&gt;L95,OFICIAL!T95&lt;&gt;M95),3,0))))))</f>
        <v/>
      </c>
    </row>
    <row r="96" spans="1:26" x14ac:dyDescent="0.3">
      <c r="A96" s="65">
        <v>46210</v>
      </c>
      <c r="B96" s="66">
        <v>0.54166666666666663</v>
      </c>
      <c r="C96" s="67" t="s">
        <v>140</v>
      </c>
      <c r="D96" s="64"/>
      <c r="E96" s="64" t="s">
        <v>1</v>
      </c>
      <c r="F96" s="64"/>
      <c r="G96" s="67" t="s">
        <v>147</v>
      </c>
      <c r="K96" s="8" t="str">
        <f t="shared" si="7"/>
        <v/>
      </c>
      <c r="L96" s="9" t="str">
        <f t="shared" si="8"/>
        <v/>
      </c>
      <c r="M96" s="9" t="str">
        <f t="shared" si="9"/>
        <v/>
      </c>
      <c r="O96" s="9" t="str">
        <f>IF(OFICIAL!D96="","",IF(AND(K96=OFICIAL!R96,L96=OFICIAL!S96,M96=OFICIAL!T96),9,IF(AND(K96=OFICIAL!R96,L96=OFICIAL!S96,M96&lt;&gt;OFICIAL!T96),6,IF(AND(K96=OFICIAL!R96,OFICIAL!S96=OFICIAL!T96,M96&lt;&gt;OFICIAL!T96),6,IF(AND(K96=OFICIAL!R96,L96&lt;&gt;OFICIAL!S96,OFICIAL!T96=M96),4,IF(AND(K96=OFICIAL!R96,OFICIAL!S96&lt;&gt;L96,OFICIAL!T96&lt;&gt;M96),3,0))))))</f>
        <v/>
      </c>
    </row>
    <row r="97" spans="1:15" x14ac:dyDescent="0.3">
      <c r="A97" s="65">
        <v>46210</v>
      </c>
      <c r="B97" s="66">
        <v>0.70833333333333337</v>
      </c>
      <c r="C97" s="67" t="s">
        <v>141</v>
      </c>
      <c r="D97" s="64"/>
      <c r="E97" s="64" t="s">
        <v>1</v>
      </c>
      <c r="F97" s="64"/>
      <c r="G97" s="67" t="s">
        <v>148</v>
      </c>
      <c r="K97" s="8" t="str">
        <f t="shared" si="7"/>
        <v/>
      </c>
      <c r="L97" s="9" t="str">
        <f t="shared" si="8"/>
        <v/>
      </c>
      <c r="M97" s="9" t="str">
        <f t="shared" si="9"/>
        <v/>
      </c>
      <c r="O97" s="9" t="str">
        <f>IF(OFICIAL!D97="","",IF(AND(K97=OFICIAL!R97,L97=OFICIAL!S97,M97=OFICIAL!T97),9,IF(AND(K97=OFICIAL!R97,L97=OFICIAL!S97,M97&lt;&gt;OFICIAL!T97),6,IF(AND(K97=OFICIAL!R97,OFICIAL!S97=OFICIAL!T97,M97&lt;&gt;OFICIAL!T97),6,IF(AND(K97=OFICIAL!R97,L97&lt;&gt;OFICIAL!S97,OFICIAL!T97=M97),4,IF(AND(K97=OFICIAL!R97,OFICIAL!S97&lt;&gt;L97,OFICIAL!T97&lt;&gt;M97),3,0))))))</f>
        <v/>
      </c>
    </row>
    <row r="98" spans="1:15" x14ac:dyDescent="0.3">
      <c r="A98" s="69">
        <v>46212</v>
      </c>
      <c r="B98" s="70">
        <v>0.70833333333333337</v>
      </c>
      <c r="C98" s="71" t="s">
        <v>149</v>
      </c>
      <c r="D98" s="68"/>
      <c r="E98" s="68" t="s">
        <v>1</v>
      </c>
      <c r="F98" s="68"/>
      <c r="G98" s="71" t="s">
        <v>150</v>
      </c>
      <c r="K98" s="8" t="str">
        <f t="shared" si="7"/>
        <v/>
      </c>
      <c r="L98" s="9" t="str">
        <f t="shared" si="8"/>
        <v/>
      </c>
      <c r="M98" s="9" t="str">
        <f t="shared" si="9"/>
        <v/>
      </c>
      <c r="O98" s="9" t="str">
        <f>IF(OFICIAL!D98="","",IF(AND(K98=OFICIAL!R98,L98=OFICIAL!S98,M98=OFICIAL!T98),9,IF(AND(K98=OFICIAL!R98,L98=OFICIAL!S98,M98&lt;&gt;OFICIAL!T98),6,IF(AND(K98=OFICIAL!R98,OFICIAL!S98=OFICIAL!T98,M98&lt;&gt;OFICIAL!T98),6,IF(AND(K98=OFICIAL!R98,L98&lt;&gt;OFICIAL!S98,OFICIAL!T98=M98),4,IF(AND(K98=OFICIAL!R98,OFICIAL!S98&lt;&gt;L98,OFICIAL!T98&lt;&gt;M98),3,0))))))</f>
        <v/>
      </c>
    </row>
    <row r="99" spans="1:15" x14ac:dyDescent="0.3">
      <c r="A99" s="69">
        <v>46213</v>
      </c>
      <c r="B99" s="70">
        <v>0.66666666666666663</v>
      </c>
      <c r="C99" s="71" t="s">
        <v>151</v>
      </c>
      <c r="D99" s="68"/>
      <c r="E99" s="68" t="s">
        <v>1</v>
      </c>
      <c r="F99" s="68"/>
      <c r="G99" s="71" t="s">
        <v>154</v>
      </c>
      <c r="K99" s="8" t="str">
        <f t="shared" si="7"/>
        <v/>
      </c>
      <c r="L99" s="9" t="str">
        <f t="shared" si="8"/>
        <v/>
      </c>
      <c r="M99" s="9" t="str">
        <f t="shared" si="9"/>
        <v/>
      </c>
      <c r="O99" s="9" t="str">
        <f>IF(OFICIAL!D99="","",IF(AND(K99=OFICIAL!R99,L99=OFICIAL!S99,M99=OFICIAL!T99),9,IF(AND(K99=OFICIAL!R99,L99=OFICIAL!S99,M99&lt;&gt;OFICIAL!T99),6,IF(AND(K99=OFICIAL!R99,OFICIAL!S99=OFICIAL!T99,M99&lt;&gt;OFICIAL!T99),6,IF(AND(K99=OFICIAL!R99,L99&lt;&gt;OFICIAL!S99,OFICIAL!T99=M99),4,IF(AND(K99=OFICIAL!R99,OFICIAL!S99&lt;&gt;L99,OFICIAL!T99&lt;&gt;M99),3,0))))))</f>
        <v/>
      </c>
    </row>
    <row r="100" spans="1:15" x14ac:dyDescent="0.3">
      <c r="A100" s="69">
        <v>46214</v>
      </c>
      <c r="B100" s="70">
        <v>0.75</v>
      </c>
      <c r="C100" s="71" t="s">
        <v>152</v>
      </c>
      <c r="D100" s="68"/>
      <c r="E100" s="68" t="s">
        <v>1</v>
      </c>
      <c r="F100" s="68"/>
      <c r="G100" s="71" t="s">
        <v>155</v>
      </c>
      <c r="K100" s="8" t="str">
        <f t="shared" si="7"/>
        <v/>
      </c>
      <c r="L100" s="9" t="str">
        <f t="shared" si="8"/>
        <v/>
      </c>
      <c r="M100" s="9" t="str">
        <f t="shared" si="9"/>
        <v/>
      </c>
      <c r="O100" s="9" t="str">
        <f>IF(OFICIAL!D100="","",IF(AND(K100=OFICIAL!R100,L100=OFICIAL!S100,M100=OFICIAL!T100),9,IF(AND(K100=OFICIAL!R100,L100=OFICIAL!S100,M100&lt;&gt;OFICIAL!T100),6,IF(AND(K100=OFICIAL!R100,OFICIAL!S100=OFICIAL!T100,M100&lt;&gt;OFICIAL!T100),6,IF(AND(K100=OFICIAL!R100,L100&lt;&gt;OFICIAL!S100,OFICIAL!T100=M100),4,IF(AND(K100=OFICIAL!R100,OFICIAL!S100&lt;&gt;L100,OFICIAL!T100&lt;&gt;M100),3,0))))))</f>
        <v/>
      </c>
    </row>
    <row r="101" spans="1:15" x14ac:dyDescent="0.3">
      <c r="A101" s="69">
        <v>46214</v>
      </c>
      <c r="B101" s="70">
        <v>0.91666666666666663</v>
      </c>
      <c r="C101" s="71" t="s">
        <v>153</v>
      </c>
      <c r="D101" s="68"/>
      <c r="E101" s="68" t="s">
        <v>1</v>
      </c>
      <c r="F101" s="68"/>
      <c r="G101" s="71" t="s">
        <v>156</v>
      </c>
      <c r="K101" s="8" t="str">
        <f t="shared" si="7"/>
        <v/>
      </c>
      <c r="L101" s="9" t="str">
        <f t="shared" si="8"/>
        <v/>
      </c>
      <c r="M101" s="9" t="str">
        <f t="shared" si="9"/>
        <v/>
      </c>
      <c r="O101" s="9" t="str">
        <f>IF(OFICIAL!D101="","",IF(AND(K101=OFICIAL!R101,L101=OFICIAL!S101,M101=OFICIAL!T101),9,IF(AND(K101=OFICIAL!R101,L101=OFICIAL!S101,M101&lt;&gt;OFICIAL!T101),6,IF(AND(K101=OFICIAL!R101,OFICIAL!S101=OFICIAL!T101,M101&lt;&gt;OFICIAL!T101),6,IF(AND(K101=OFICIAL!R101,L101&lt;&gt;OFICIAL!S101,OFICIAL!T101=M101),4,IF(AND(K101=OFICIAL!R101,OFICIAL!S101&lt;&gt;L101,OFICIAL!T101&lt;&gt;M101),3,0))))))</f>
        <v/>
      </c>
    </row>
    <row r="102" spans="1:15" x14ac:dyDescent="0.3">
      <c r="A102" s="72">
        <v>46217</v>
      </c>
      <c r="B102" s="73">
        <v>0.66666666666666663</v>
      </c>
      <c r="C102" s="74" t="s">
        <v>157</v>
      </c>
      <c r="D102" s="75"/>
      <c r="E102" s="75" t="s">
        <v>1</v>
      </c>
      <c r="F102" s="75"/>
      <c r="G102" s="74" t="s">
        <v>158</v>
      </c>
      <c r="K102" s="8" t="str">
        <f t="shared" si="7"/>
        <v/>
      </c>
      <c r="L102" s="9" t="str">
        <f t="shared" si="8"/>
        <v/>
      </c>
      <c r="M102" s="9" t="str">
        <f t="shared" si="9"/>
        <v/>
      </c>
      <c r="O102" s="9" t="str">
        <f>IF(OFICIAL!D102="","",IF(AND(K102=OFICIAL!R102,L102=OFICIAL!S102,M102=OFICIAL!T102),9,IF(AND(K102=OFICIAL!R102,L102=OFICIAL!S102,M102&lt;&gt;OFICIAL!T102),6,IF(AND(K102=OFICIAL!R102,OFICIAL!S102=OFICIAL!T102,M102&lt;&gt;OFICIAL!T102),6,IF(AND(K102=OFICIAL!R102,L102&lt;&gt;OFICIAL!S102,OFICIAL!T102=M102),4,IF(AND(K102=OFICIAL!R102,OFICIAL!S102&lt;&gt;L102,OFICIAL!T102&lt;&gt;M102),3,0))))))</f>
        <v/>
      </c>
    </row>
    <row r="103" spans="1:15" x14ac:dyDescent="0.3">
      <c r="A103" s="72">
        <v>46218</v>
      </c>
      <c r="B103" s="73">
        <v>0.66666666666666663</v>
      </c>
      <c r="C103" s="74" t="s">
        <v>159</v>
      </c>
      <c r="D103" s="75"/>
      <c r="E103" s="75" t="s">
        <v>1</v>
      </c>
      <c r="F103" s="75"/>
      <c r="G103" s="74" t="s">
        <v>160</v>
      </c>
      <c r="K103" s="8" t="str">
        <f t="shared" si="7"/>
        <v/>
      </c>
      <c r="L103" s="9" t="str">
        <f t="shared" si="8"/>
        <v/>
      </c>
      <c r="M103" s="9" t="str">
        <f t="shared" si="9"/>
        <v/>
      </c>
      <c r="O103" s="9" t="str">
        <f>IF(OFICIAL!D103="","",IF(AND(K103=OFICIAL!R103,L103=OFICIAL!S103,M103=OFICIAL!T103),9,IF(AND(K103=OFICIAL!R103,L103=OFICIAL!S103,M103&lt;&gt;OFICIAL!T103),6,IF(AND(K103=OFICIAL!R103,OFICIAL!S103=OFICIAL!T103,M103&lt;&gt;OFICIAL!T103),6,IF(AND(K103=OFICIAL!R103,L103&lt;&gt;OFICIAL!S103,OFICIAL!T103=M103),4,IF(AND(K103=OFICIAL!R103,OFICIAL!S103&lt;&gt;L103,OFICIAL!T103&lt;&gt;M103),3,0))))))</f>
        <v/>
      </c>
    </row>
    <row r="104" spans="1:15" x14ac:dyDescent="0.3">
      <c r="A104" s="76">
        <v>46221</v>
      </c>
      <c r="B104" s="77">
        <v>0.75</v>
      </c>
      <c r="C104" s="78" t="s">
        <v>161</v>
      </c>
      <c r="D104" s="79"/>
      <c r="E104" s="79" t="s">
        <v>1</v>
      </c>
      <c r="F104" s="79"/>
      <c r="G104" s="78" t="s">
        <v>162</v>
      </c>
      <c r="K104" s="8" t="str">
        <f t="shared" si="7"/>
        <v/>
      </c>
      <c r="L104" s="9" t="str">
        <f t="shared" si="8"/>
        <v/>
      </c>
      <c r="M104" s="9" t="str">
        <f t="shared" si="9"/>
        <v/>
      </c>
      <c r="O104" s="9" t="str">
        <f>IF(OFICIAL!D104="","",IF(AND(K104=OFICIAL!R104,L104=OFICIAL!S104,M104=OFICIAL!T104),9,IF(AND(K104=OFICIAL!R104,L104=OFICIAL!S104,M104&lt;&gt;OFICIAL!T104),6,IF(AND(K104=OFICIAL!R104,OFICIAL!S104=OFICIAL!T104,M104&lt;&gt;OFICIAL!T104),6,IF(AND(K104=OFICIAL!R104,L104&lt;&gt;OFICIAL!S104,OFICIAL!T104=M104),4,IF(AND(K104=OFICIAL!R104,OFICIAL!S104&lt;&gt;L104,OFICIAL!T104&lt;&gt;M104),3,0))))))</f>
        <v/>
      </c>
    </row>
    <row r="105" spans="1:15" x14ac:dyDescent="0.3">
      <c r="A105" s="80">
        <v>46222</v>
      </c>
      <c r="B105" s="81">
        <v>0.66666666666666663</v>
      </c>
      <c r="C105" s="82" t="s">
        <v>163</v>
      </c>
      <c r="D105" s="83"/>
      <c r="E105" s="83" t="s">
        <v>1</v>
      </c>
      <c r="F105" s="83"/>
      <c r="G105" s="82" t="s">
        <v>164</v>
      </c>
      <c r="K105" s="8" t="str">
        <f t="shared" si="7"/>
        <v/>
      </c>
      <c r="L105" s="9" t="str">
        <f t="shared" si="8"/>
        <v/>
      </c>
      <c r="M105" s="9" t="str">
        <f t="shared" si="9"/>
        <v/>
      </c>
      <c r="O105" s="9" t="str">
        <f>IF(OFICIAL!D105="","",IF(AND(K105=OFICIAL!R105,L105=OFICIAL!S105,M105=OFICIAL!T105),9,IF(AND(K105=OFICIAL!R105,L105=OFICIAL!S105,M105&lt;&gt;OFICIAL!T105),6,IF(AND(K105=OFICIAL!R105,OFICIAL!S105=OFICIAL!T105,M105&lt;&gt;OFICIAL!T105),6,IF(AND(K105=OFICIAL!R105,L105&lt;&gt;OFICIAL!S105,OFICIAL!T105=M105),4,IF(AND(K105=OFICIAL!R105,OFICIAL!S105&lt;&gt;L105,OFICIAL!T105&lt;&gt;M105),3,0))))))</f>
        <v/>
      </c>
    </row>
  </sheetData>
  <mergeCells count="2">
    <mergeCell ref="A1:G1"/>
    <mergeCell ref="H1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showGridLines="0" workbookViewId="0">
      <selection activeCell="C22" sqref="C22"/>
    </sheetView>
  </sheetViews>
  <sheetFormatPr defaultRowHeight="14.4" x14ac:dyDescent="0.3"/>
  <cols>
    <col min="1" max="1" width="5" bestFit="1" customWidth="1"/>
    <col min="2" max="2" width="12" bestFit="1" customWidth="1"/>
    <col min="3" max="3" width="11.5546875" bestFit="1" customWidth="1"/>
    <col min="4" max="4" width="5" bestFit="1" customWidth="1"/>
    <col min="7" max="7" width="5.5546875" bestFit="1" customWidth="1"/>
    <col min="8" max="8" width="22.88671875" customWidth="1"/>
    <col min="9" max="9" width="22" bestFit="1" customWidth="1"/>
    <col min="10" max="10" width="11" bestFit="1" customWidth="1"/>
    <col min="11" max="11" width="20" bestFit="1" customWidth="1"/>
  </cols>
  <sheetData>
    <row r="1" spans="1:11" ht="15" thickBot="1" x14ac:dyDescent="0.35"/>
    <row r="2" spans="1:11" ht="15" thickBot="1" x14ac:dyDescent="0.35">
      <c r="A2" s="1"/>
      <c r="B2" s="1" t="s">
        <v>57</v>
      </c>
      <c r="C2" s="44">
        <v>5</v>
      </c>
      <c r="D2" s="1"/>
      <c r="G2" s="37" t="s">
        <v>58</v>
      </c>
      <c r="H2" s="38" t="s">
        <v>59</v>
      </c>
      <c r="I2" s="38" t="s">
        <v>60</v>
      </c>
      <c r="J2" s="38" t="s">
        <v>61</v>
      </c>
      <c r="K2" s="39" t="s">
        <v>62</v>
      </c>
    </row>
    <row r="3" spans="1:11" ht="15" thickBot="1" x14ac:dyDescent="0.35">
      <c r="A3" s="1"/>
      <c r="B3" s="1" t="s">
        <v>63</v>
      </c>
      <c r="C3" s="44">
        <v>4</v>
      </c>
      <c r="D3" s="1"/>
      <c r="G3" s="40">
        <v>1930</v>
      </c>
      <c r="H3" s="40" t="s">
        <v>3</v>
      </c>
      <c r="I3" s="41" t="s">
        <v>3</v>
      </c>
      <c r="J3" s="42">
        <v>43135</v>
      </c>
      <c r="K3" s="40" t="s">
        <v>9</v>
      </c>
    </row>
    <row r="4" spans="1:11" ht="15" thickBot="1" x14ac:dyDescent="0.35">
      <c r="A4" s="1"/>
      <c r="B4" s="1" t="s">
        <v>64</v>
      </c>
      <c r="C4" s="44">
        <v>4</v>
      </c>
      <c r="D4" s="1"/>
      <c r="G4" s="40">
        <v>1934</v>
      </c>
      <c r="H4" s="40" t="s">
        <v>65</v>
      </c>
      <c r="I4" s="41" t="s">
        <v>65</v>
      </c>
      <c r="J4" s="40" t="s">
        <v>66</v>
      </c>
      <c r="K4" s="40" t="s">
        <v>67</v>
      </c>
    </row>
    <row r="5" spans="1:11" ht="15" thickBot="1" x14ac:dyDescent="0.35">
      <c r="A5" s="1"/>
      <c r="B5" s="1" t="s">
        <v>68</v>
      </c>
      <c r="C5" s="44">
        <v>2</v>
      </c>
      <c r="D5" s="1"/>
      <c r="G5" s="40">
        <v>1938</v>
      </c>
      <c r="H5" s="40" t="s">
        <v>7</v>
      </c>
      <c r="I5" s="41" t="s">
        <v>65</v>
      </c>
      <c r="J5" s="42">
        <v>43135</v>
      </c>
      <c r="K5" s="40" t="s">
        <v>69</v>
      </c>
    </row>
    <row r="6" spans="1:11" ht="15" thickBot="1" x14ac:dyDescent="0.35">
      <c r="A6" s="1"/>
      <c r="B6" s="1" t="s">
        <v>70</v>
      </c>
      <c r="C6" s="44">
        <v>2</v>
      </c>
      <c r="D6" s="1"/>
      <c r="G6" s="40">
        <v>1950</v>
      </c>
      <c r="H6" s="40" t="s">
        <v>11</v>
      </c>
      <c r="I6" s="41" t="s">
        <v>3</v>
      </c>
      <c r="J6" s="42">
        <v>43102</v>
      </c>
      <c r="K6" s="40" t="s">
        <v>11</v>
      </c>
    </row>
    <row r="7" spans="1:11" ht="15" thickBot="1" x14ac:dyDescent="0.35">
      <c r="B7" t="s">
        <v>71</v>
      </c>
      <c r="C7" s="36">
        <v>1</v>
      </c>
      <c r="G7" s="40">
        <v>1954</v>
      </c>
      <c r="H7" s="40" t="s">
        <v>72</v>
      </c>
      <c r="I7" s="41" t="s">
        <v>73</v>
      </c>
      <c r="J7" s="42">
        <v>43134</v>
      </c>
      <c r="K7" s="40" t="s">
        <v>69</v>
      </c>
    </row>
    <row r="8" spans="1:11" ht="15" thickBot="1" x14ac:dyDescent="0.35">
      <c r="B8" t="s">
        <v>74</v>
      </c>
      <c r="C8" s="36">
        <v>2</v>
      </c>
      <c r="G8" s="40">
        <v>1958</v>
      </c>
      <c r="H8" s="40" t="s">
        <v>14</v>
      </c>
      <c r="I8" s="41" t="s">
        <v>11</v>
      </c>
      <c r="J8" s="42">
        <v>43136</v>
      </c>
      <c r="K8" s="40" t="s">
        <v>14</v>
      </c>
    </row>
    <row r="9" spans="1:11" ht="15" thickBot="1" x14ac:dyDescent="0.35">
      <c r="A9" s="1"/>
      <c r="B9" s="1" t="s">
        <v>75</v>
      </c>
      <c r="C9" s="44">
        <v>1</v>
      </c>
      <c r="D9" s="1"/>
      <c r="G9" s="40">
        <v>1962</v>
      </c>
      <c r="H9" s="40" t="s">
        <v>76</v>
      </c>
      <c r="I9" s="41" t="s">
        <v>11</v>
      </c>
      <c r="J9" s="42">
        <v>43103</v>
      </c>
      <c r="K9" s="40" t="s">
        <v>67</v>
      </c>
    </row>
    <row r="10" spans="1:11" ht="15" thickBot="1" x14ac:dyDescent="0.35">
      <c r="C10" s="36"/>
      <c r="G10" s="40">
        <v>1966</v>
      </c>
      <c r="H10" s="40" t="s">
        <v>18</v>
      </c>
      <c r="I10" s="41" t="s">
        <v>18</v>
      </c>
      <c r="J10" s="40" t="s">
        <v>77</v>
      </c>
      <c r="K10" s="40" t="s">
        <v>73</v>
      </c>
    </row>
    <row r="11" spans="1:11" ht="15" thickBot="1" x14ac:dyDescent="0.35">
      <c r="A11">
        <v>1982</v>
      </c>
      <c r="B11" t="s">
        <v>64</v>
      </c>
      <c r="G11" s="40">
        <v>1970</v>
      </c>
      <c r="H11" s="40" t="s">
        <v>13</v>
      </c>
      <c r="I11" s="41" t="s">
        <v>11</v>
      </c>
      <c r="J11" s="42">
        <v>43104</v>
      </c>
      <c r="K11" s="40" t="s">
        <v>65</v>
      </c>
    </row>
    <row r="12" spans="1:11" ht="15" thickBot="1" x14ac:dyDescent="0.35">
      <c r="A12" s="43">
        <v>1978</v>
      </c>
      <c r="B12" s="43" t="s">
        <v>70</v>
      </c>
      <c r="C12" s="43" t="s">
        <v>70</v>
      </c>
      <c r="D12" s="43">
        <v>1986</v>
      </c>
      <c r="G12" s="40">
        <v>1974</v>
      </c>
      <c r="H12" s="40" t="s">
        <v>73</v>
      </c>
      <c r="I12" s="41" t="s">
        <v>73</v>
      </c>
      <c r="J12" s="42">
        <v>43102</v>
      </c>
      <c r="K12" s="40" t="s">
        <v>78</v>
      </c>
    </row>
    <row r="13" spans="1:11" ht="15" thickBot="1" x14ac:dyDescent="0.35">
      <c r="A13" s="43">
        <v>1974</v>
      </c>
      <c r="B13" s="43" t="s">
        <v>63</v>
      </c>
      <c r="C13" s="43" t="s">
        <v>63</v>
      </c>
      <c r="D13" s="43">
        <v>1990</v>
      </c>
      <c r="G13" s="40">
        <v>1978</v>
      </c>
      <c r="H13" s="40" t="s">
        <v>9</v>
      </c>
      <c r="I13" s="41" t="s">
        <v>9</v>
      </c>
      <c r="J13" s="40" t="s">
        <v>79</v>
      </c>
      <c r="K13" s="40" t="s">
        <v>78</v>
      </c>
    </row>
    <row r="14" spans="1:11" ht="15" thickBot="1" x14ac:dyDescent="0.35">
      <c r="A14" s="43">
        <v>1970</v>
      </c>
      <c r="B14" s="43" t="s">
        <v>57</v>
      </c>
      <c r="C14" s="43" t="s">
        <v>57</v>
      </c>
      <c r="D14" s="43">
        <v>1994</v>
      </c>
      <c r="G14" s="40">
        <v>1982</v>
      </c>
      <c r="H14" s="40" t="s">
        <v>6</v>
      </c>
      <c r="I14" s="41" t="s">
        <v>65</v>
      </c>
      <c r="J14" s="42">
        <v>43103</v>
      </c>
      <c r="K14" s="40" t="s">
        <v>73</v>
      </c>
    </row>
    <row r="15" spans="1:11" ht="15" thickBot="1" x14ac:dyDescent="0.35">
      <c r="A15">
        <v>1966</v>
      </c>
      <c r="B15" t="s">
        <v>71</v>
      </c>
      <c r="C15" t="s">
        <v>74</v>
      </c>
      <c r="D15">
        <v>1998</v>
      </c>
      <c r="G15" s="40">
        <v>1986</v>
      </c>
      <c r="H15" s="40" t="s">
        <v>13</v>
      </c>
      <c r="I15" s="41" t="s">
        <v>9</v>
      </c>
      <c r="J15" s="42">
        <v>43134</v>
      </c>
      <c r="K15" s="40" t="s">
        <v>73</v>
      </c>
    </row>
    <row r="16" spans="1:11" ht="15" thickBot="1" x14ac:dyDescent="0.35">
      <c r="A16" s="43">
        <v>1962</v>
      </c>
      <c r="B16" s="43" t="s">
        <v>57</v>
      </c>
      <c r="C16" s="43" t="s">
        <v>57</v>
      </c>
      <c r="D16" s="43">
        <v>2002</v>
      </c>
      <c r="G16" s="40">
        <v>1990</v>
      </c>
      <c r="H16" s="40" t="s">
        <v>65</v>
      </c>
      <c r="I16" s="41" t="s">
        <v>80</v>
      </c>
      <c r="J16" s="40" t="s">
        <v>81</v>
      </c>
      <c r="K16" s="40" t="s">
        <v>9</v>
      </c>
    </row>
    <row r="17" spans="1:11" ht="15" thickBot="1" x14ac:dyDescent="0.35">
      <c r="A17">
        <v>1958</v>
      </c>
      <c r="B17" t="s">
        <v>57</v>
      </c>
      <c r="C17" t="s">
        <v>64</v>
      </c>
      <c r="D17">
        <v>2006</v>
      </c>
      <c r="G17" s="40">
        <v>1994</v>
      </c>
      <c r="H17" s="40" t="s">
        <v>82</v>
      </c>
      <c r="I17" s="41" t="s">
        <v>11</v>
      </c>
      <c r="J17" s="40" t="s">
        <v>83</v>
      </c>
      <c r="K17" s="40" t="s">
        <v>65</v>
      </c>
    </row>
    <row r="18" spans="1:11" ht="15" thickBot="1" x14ac:dyDescent="0.35">
      <c r="A18">
        <v>1954</v>
      </c>
      <c r="B18" t="s">
        <v>63</v>
      </c>
      <c r="C18" t="s">
        <v>75</v>
      </c>
      <c r="D18">
        <v>2010</v>
      </c>
      <c r="G18" s="40">
        <v>1998</v>
      </c>
      <c r="H18" s="40" t="s">
        <v>7</v>
      </c>
      <c r="I18" s="41" t="s">
        <v>7</v>
      </c>
      <c r="J18" s="40" t="s">
        <v>84</v>
      </c>
      <c r="K18" s="40" t="s">
        <v>11</v>
      </c>
    </row>
    <row r="19" spans="1:11" ht="15" thickBot="1" x14ac:dyDescent="0.35">
      <c r="A19">
        <v>1950</v>
      </c>
      <c r="B19" t="s">
        <v>68</v>
      </c>
      <c r="C19" t="s">
        <v>63</v>
      </c>
      <c r="D19">
        <v>2014</v>
      </c>
      <c r="G19" s="40">
        <v>2002</v>
      </c>
      <c r="H19" s="40" t="s">
        <v>85</v>
      </c>
      <c r="I19" s="41" t="s">
        <v>11</v>
      </c>
      <c r="J19" s="40" t="s">
        <v>86</v>
      </c>
      <c r="K19" s="40" t="s">
        <v>12</v>
      </c>
    </row>
    <row r="20" spans="1:11" ht="15" thickBot="1" x14ac:dyDescent="0.35">
      <c r="A20">
        <v>1938</v>
      </c>
      <c r="B20" t="s">
        <v>64</v>
      </c>
      <c r="C20" t="s">
        <v>74</v>
      </c>
      <c r="D20">
        <v>2018</v>
      </c>
      <c r="G20" s="40">
        <v>2006</v>
      </c>
      <c r="H20" s="40" t="s">
        <v>12</v>
      </c>
      <c r="I20" s="41" t="s">
        <v>65</v>
      </c>
      <c r="J20" s="40" t="s">
        <v>87</v>
      </c>
      <c r="K20" s="40" t="s">
        <v>7</v>
      </c>
    </row>
    <row r="21" spans="1:11" ht="15" thickBot="1" x14ac:dyDescent="0.35">
      <c r="A21">
        <v>1934</v>
      </c>
      <c r="B21" t="s">
        <v>64</v>
      </c>
      <c r="C21" t="s">
        <v>70</v>
      </c>
      <c r="D21">
        <v>2022</v>
      </c>
      <c r="G21" s="40">
        <v>2010</v>
      </c>
      <c r="H21" s="40" t="s">
        <v>88</v>
      </c>
      <c r="I21" s="41" t="s">
        <v>6</v>
      </c>
      <c r="J21" s="40" t="s">
        <v>89</v>
      </c>
      <c r="K21" s="40" t="s">
        <v>78</v>
      </c>
    </row>
    <row r="22" spans="1:11" ht="15" thickBot="1" x14ac:dyDescent="0.35">
      <c r="A22">
        <v>1930</v>
      </c>
      <c r="B22" t="s">
        <v>68</v>
      </c>
      <c r="D22">
        <v>2026</v>
      </c>
      <c r="G22" s="40">
        <v>2014</v>
      </c>
      <c r="H22" s="40" t="s">
        <v>11</v>
      </c>
      <c r="I22" s="41" t="s">
        <v>12</v>
      </c>
      <c r="J22" s="40" t="s">
        <v>89</v>
      </c>
      <c r="K22" s="40" t="s">
        <v>9</v>
      </c>
    </row>
    <row r="23" spans="1:11" ht="15" thickBot="1" x14ac:dyDescent="0.35">
      <c r="G23" s="40">
        <v>2018</v>
      </c>
      <c r="H23" s="40" t="s">
        <v>0</v>
      </c>
      <c r="I23" s="41" t="s">
        <v>7</v>
      </c>
      <c r="J23" s="42">
        <v>44596</v>
      </c>
      <c r="K23" s="40" t="s">
        <v>10</v>
      </c>
    </row>
    <row r="24" spans="1:11" ht="15" thickBot="1" x14ac:dyDescent="0.35">
      <c r="G24" s="40">
        <v>2022</v>
      </c>
      <c r="H24" s="40" t="s">
        <v>97</v>
      </c>
      <c r="I24" s="41" t="s">
        <v>9</v>
      </c>
      <c r="J24" s="42" t="s">
        <v>166</v>
      </c>
      <c r="K24" s="40" t="s">
        <v>7</v>
      </c>
    </row>
    <row r="25" spans="1:11" ht="15" thickBot="1" x14ac:dyDescent="0.35">
      <c r="G25" s="40">
        <v>2026</v>
      </c>
      <c r="H25" s="40" t="s">
        <v>165</v>
      </c>
      <c r="I25" s="41"/>
      <c r="J25" s="42">
        <v>46222</v>
      </c>
      <c r="K25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OFICIAL</vt:lpstr>
      <vt:lpstr>BERNARDO</vt:lpstr>
      <vt:lpstr>FERNANDO</vt:lpstr>
      <vt:lpstr>GABRIEL</vt:lpstr>
      <vt:lpstr>GUSTAVO</vt:lpstr>
      <vt:lpstr>MARCIO</vt:lpstr>
      <vt:lpstr>MARQUES</vt:lpstr>
      <vt:lpstr>RENAN</vt:lpstr>
      <vt:lpstr>RICARDO</vt:lpstr>
      <vt:lpstr>THIAGO</vt:lpstr>
      <vt:lpstr>SOARES</vt:lpstr>
      <vt:lpstr>TODAS AS COPAS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PHINOTE12</dc:creator>
  <cp:lastModifiedBy>Marcio Losso</cp:lastModifiedBy>
  <dcterms:created xsi:type="dcterms:W3CDTF">2018-06-12T14:10:46Z</dcterms:created>
  <dcterms:modified xsi:type="dcterms:W3CDTF">2026-06-28T16:34:07Z</dcterms:modified>
</cp:coreProperties>
</file>